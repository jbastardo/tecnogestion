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ntigravity\TecnoGestion\"/>
    </mc:Choice>
  </mc:AlternateContent>
  <xr:revisionPtr revIDLastSave="0" documentId="8_{07400EB5-333F-4B23-B960-E352FA6654DD}" xr6:coauthVersionLast="47" xr6:coauthVersionMax="47" xr10:uidLastSave="{00000000-0000-0000-0000-000000000000}"/>
  <bookViews>
    <workbookView xWindow="-108" yWindow="-108" windowWidth="23256" windowHeight="12456" tabRatio="907" activeTab="1" xr2:uid="{88FFFBE2-E3A2-493B-A9E3-5EAA4C93CB26}"/>
  </bookViews>
  <sheets>
    <sheet name="B.D." sheetId="5" r:id="rId1"/>
    <sheet name="RESUMEN" sheetId="1" r:id="rId2"/>
    <sheet name="INGRESOS" sheetId="33" r:id="rId3"/>
    <sheet name="CUENTAS POR COBRAR" sheetId="37" r:id="rId4"/>
    <sheet name="Hoja1" sheetId="8" state="hidden" r:id="rId5"/>
    <sheet name="COMPRAS FACT" sheetId="3" r:id="rId6"/>
    <sheet name="GASTOS " sheetId="4" r:id="rId7"/>
    <sheet name="FONDO EN CAJA $ BS" sheetId="36" r:id="rId8"/>
    <sheet name="CAJA ADM" sheetId="35" r:id="rId9"/>
    <sheet name="COMPARAT" sheetId="16" state="hidden" r:id="rId10"/>
    <sheet name="COMPARAT COMPRAS" sheetId="26" state="hidden" r:id="rId11"/>
    <sheet name="T.D COMPRAS" sheetId="38" state="hidden" r:id="rId12"/>
    <sheet name="T.D GASTOS" sheetId="39" state="hidden" r:id="rId13"/>
  </sheets>
  <externalReferences>
    <externalReference r:id="rId14"/>
    <externalReference r:id="rId15"/>
  </externalReferences>
  <calcPr calcId="191029"/>
  <pivotCaches>
    <pivotCache cacheId="0" r:id="rId16"/>
    <pivotCache cacheId="1" r:id="rId17"/>
    <pivotCache cacheId="2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5" i="4" l="1"/>
  <c r="P96" i="4"/>
  <c r="P97" i="4"/>
  <c r="P98" i="4"/>
  <c r="P99" i="4"/>
  <c r="P100" i="4"/>
  <c r="P101" i="4"/>
  <c r="P102" i="4"/>
  <c r="P103" i="4"/>
  <c r="P104" i="4"/>
  <c r="P105" i="4"/>
  <c r="P106" i="4"/>
  <c r="C104" i="1"/>
  <c r="E11" i="37"/>
  <c r="E14" i="37" s="1"/>
  <c r="F14" i="37" s="1"/>
  <c r="D7" i="37" s="1"/>
  <c r="F7" i="37" s="1"/>
  <c r="H7" i="37" s="1"/>
  <c r="C103" i="1" s="1"/>
  <c r="C102" i="1"/>
  <c r="G41" i="33" l="1"/>
  <c r="S10" i="33"/>
  <c r="B65" i="1"/>
  <c r="B66" i="1"/>
  <c r="B88" i="1"/>
  <c r="Q61" i="4"/>
  <c r="P61" i="4" s="1"/>
  <c r="Q39" i="4"/>
  <c r="Q38" i="4"/>
  <c r="Q17" i="4"/>
  <c r="P17" i="4" s="1"/>
  <c r="P38" i="4"/>
  <c r="P39" i="4"/>
  <c r="P4" i="4"/>
  <c r="P5" i="4"/>
  <c r="P6" i="4"/>
  <c r="P7" i="4"/>
  <c r="P8" i="4"/>
  <c r="P9" i="4"/>
  <c r="P10" i="4"/>
  <c r="P11" i="4"/>
  <c r="P12" i="4"/>
  <c r="P13" i="4"/>
  <c r="P14" i="4"/>
  <c r="P15" i="4"/>
  <c r="P18" i="4"/>
  <c r="P16" i="4"/>
  <c r="P19" i="4"/>
  <c r="P20" i="4"/>
  <c r="P21" i="4"/>
  <c r="P22" i="4"/>
  <c r="P25" i="4"/>
  <c r="P23" i="4"/>
  <c r="P24" i="4"/>
  <c r="P26" i="4"/>
  <c r="P27" i="4"/>
  <c r="P28" i="4"/>
  <c r="P29" i="4"/>
  <c r="P30" i="4"/>
  <c r="P31" i="4"/>
  <c r="P32" i="4"/>
  <c r="P33" i="4"/>
  <c r="P34" i="4"/>
  <c r="P35" i="4"/>
  <c r="P36" i="4"/>
  <c r="P37" i="4"/>
  <c r="P49" i="4"/>
  <c r="P40" i="4"/>
  <c r="P41" i="4"/>
  <c r="P42" i="4"/>
  <c r="P50" i="4"/>
  <c r="P45" i="4"/>
  <c r="P51" i="4"/>
  <c r="P43" i="4"/>
  <c r="P44" i="4"/>
  <c r="P52" i="4"/>
  <c r="P53" i="4"/>
  <c r="P46" i="4"/>
  <c r="P54" i="4"/>
  <c r="P47" i="4"/>
  <c r="P55" i="4"/>
  <c r="P56" i="4"/>
  <c r="P57" i="4"/>
  <c r="P58" i="4"/>
  <c r="P59" i="4"/>
  <c r="P48" i="4"/>
  <c r="P62" i="4"/>
  <c r="P63" i="4"/>
  <c r="P64" i="4"/>
  <c r="P65" i="4"/>
  <c r="P66" i="4"/>
  <c r="P67" i="4"/>
  <c r="P68" i="4"/>
  <c r="P69" i="4"/>
  <c r="P72" i="4"/>
  <c r="P70" i="4"/>
  <c r="P60" i="4"/>
  <c r="P71" i="4"/>
  <c r="P77" i="4"/>
  <c r="P78" i="4"/>
  <c r="P79" i="4"/>
  <c r="P80" i="4"/>
  <c r="P73" i="4"/>
  <c r="P74" i="4"/>
  <c r="P75" i="4"/>
  <c r="P76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K17" i="4"/>
  <c r="K38" i="4"/>
  <c r="K39" i="4"/>
  <c r="K61" i="4"/>
  <c r="K95" i="4"/>
  <c r="M95" i="4" s="1"/>
  <c r="K96" i="4"/>
  <c r="M96" i="4" s="1"/>
  <c r="K97" i="4"/>
  <c r="M97" i="4" s="1"/>
  <c r="K98" i="4"/>
  <c r="M98" i="4" s="1"/>
  <c r="K99" i="4"/>
  <c r="M99" i="4" s="1"/>
  <c r="K100" i="4"/>
  <c r="M100" i="4" s="1"/>
  <c r="K101" i="4"/>
  <c r="M101" i="4" s="1"/>
  <c r="K102" i="4"/>
  <c r="M102" i="4" s="1"/>
  <c r="K103" i="4"/>
  <c r="M103" i="4" s="1"/>
  <c r="K104" i="4"/>
  <c r="M104" i="4" s="1"/>
  <c r="K105" i="4"/>
  <c r="M105" i="4" s="1"/>
  <c r="K106" i="4"/>
  <c r="M106" i="4" s="1"/>
  <c r="K107" i="4"/>
  <c r="M107" i="4" s="1"/>
  <c r="K108" i="4"/>
  <c r="M108" i="4" s="1"/>
  <c r="P107" i="4"/>
  <c r="P108" i="4"/>
  <c r="K84" i="4"/>
  <c r="M88" i="4" s="1"/>
  <c r="K85" i="4"/>
  <c r="M89" i="4" s="1"/>
  <c r="K86" i="4"/>
  <c r="K87" i="4"/>
  <c r="K88" i="4"/>
  <c r="K89" i="4"/>
  <c r="K90" i="4"/>
  <c r="K91" i="4"/>
  <c r="K92" i="4"/>
  <c r="K93" i="4"/>
  <c r="K94" i="4"/>
  <c r="O11" i="3"/>
  <c r="O12" i="3"/>
  <c r="O13" i="3"/>
  <c r="O14" i="3"/>
  <c r="O36" i="3"/>
  <c r="O37" i="3"/>
  <c r="O23" i="3"/>
  <c r="O24" i="3"/>
  <c r="O25" i="3"/>
  <c r="O26" i="3"/>
  <c r="O19" i="3"/>
  <c r="O20" i="3"/>
  <c r="O21" i="3"/>
  <c r="O22" i="3"/>
  <c r="M92" i="4" l="1"/>
  <c r="M93" i="4"/>
  <c r="M39" i="4"/>
  <c r="Q110" i="4"/>
  <c r="M17" i="4"/>
  <c r="M38" i="4"/>
  <c r="M91" i="4"/>
  <c r="M94" i="4"/>
  <c r="M90" i="4"/>
  <c r="P110" i="4"/>
  <c r="R36" i="36"/>
  <c r="Y38" i="36"/>
  <c r="X35" i="36"/>
  <c r="W33" i="36"/>
  <c r="W32" i="36"/>
  <c r="W31" i="36"/>
  <c r="W30" i="36"/>
  <c r="V30" i="36"/>
  <c r="V29" i="36"/>
  <c r="W27" i="36"/>
  <c r="W26" i="36"/>
  <c r="W25" i="36"/>
  <c r="W24" i="36"/>
  <c r="W23" i="36"/>
  <c r="W22" i="36"/>
  <c r="W21" i="36"/>
  <c r="W20" i="36"/>
  <c r="W19" i="36"/>
  <c r="W18" i="36"/>
  <c r="W17" i="36"/>
  <c r="W16" i="36"/>
  <c r="W15" i="36"/>
  <c r="W14" i="36"/>
  <c r="V14" i="36"/>
  <c r="W13" i="36"/>
  <c r="X13" i="36" s="1"/>
  <c r="Y13" i="36" s="1"/>
  <c r="X14" i="36" l="1"/>
  <c r="Y14" i="36" l="1"/>
  <c r="X15" i="36"/>
  <c r="Y15" i="36" l="1"/>
  <c r="X16" i="36"/>
  <c r="Y16" i="36" l="1"/>
  <c r="X17" i="36"/>
  <c r="X18" i="36" l="1"/>
  <c r="Y17" i="36"/>
  <c r="Y18" i="36" l="1"/>
  <c r="X19" i="36"/>
  <c r="Y19" i="36" l="1"/>
  <c r="X20" i="36"/>
  <c r="Y20" i="36" l="1"/>
  <c r="X21" i="36"/>
  <c r="Y21" i="36" l="1"/>
  <c r="X22" i="36"/>
  <c r="Y22" i="36" l="1"/>
  <c r="X23" i="36"/>
  <c r="Y23" i="36" l="1"/>
  <c r="X24" i="36"/>
  <c r="Y24" i="36" l="1"/>
  <c r="X25" i="36"/>
  <c r="Y25" i="36" l="1"/>
  <c r="X26" i="36"/>
  <c r="Y26" i="36" l="1"/>
  <c r="X27" i="36"/>
  <c r="Y27" i="36" l="1"/>
  <c r="X28" i="36"/>
  <c r="Q35" i="36"/>
  <c r="S35" i="36" s="1"/>
  <c r="Q34" i="36"/>
  <c r="S34" i="36" s="1"/>
  <c r="Q33" i="36"/>
  <c r="S33" i="36" s="1"/>
  <c r="Q32" i="36"/>
  <c r="S32" i="36" s="1"/>
  <c r="Q31" i="36"/>
  <c r="S31" i="36" s="1"/>
  <c r="Q30" i="36"/>
  <c r="S30" i="36" s="1"/>
  <c r="Q29" i="36"/>
  <c r="S29" i="36" s="1"/>
  <c r="Q28" i="36"/>
  <c r="S28" i="36" s="1"/>
  <c r="Q27" i="36"/>
  <c r="S27" i="36" s="1"/>
  <c r="Q26" i="36"/>
  <c r="S26" i="36" s="1"/>
  <c r="Q25" i="36"/>
  <c r="S25" i="36" s="1"/>
  <c r="Q24" i="36"/>
  <c r="S24" i="36" s="1"/>
  <c r="Q23" i="36"/>
  <c r="S23" i="36" s="1"/>
  <c r="Q22" i="36"/>
  <c r="S22" i="36" s="1"/>
  <c r="Q21" i="36"/>
  <c r="S21" i="36" s="1"/>
  <c r="Q20" i="36"/>
  <c r="S20" i="36" s="1"/>
  <c r="Q19" i="36"/>
  <c r="S19" i="36" s="1"/>
  <c r="Q18" i="36"/>
  <c r="S18" i="36" s="1"/>
  <c r="Q17" i="36"/>
  <c r="S17" i="36" s="1"/>
  <c r="Q16" i="36"/>
  <c r="S16" i="36" s="1"/>
  <c r="Q15" i="36"/>
  <c r="S15" i="36" s="1"/>
  <c r="Q14" i="36"/>
  <c r="S14" i="36" s="1"/>
  <c r="Q13" i="36"/>
  <c r="S13" i="36" s="1"/>
  <c r="I36" i="36"/>
  <c r="H35" i="36"/>
  <c r="J35" i="36" s="1"/>
  <c r="H34" i="36"/>
  <c r="J34" i="36" s="1"/>
  <c r="H33" i="36"/>
  <c r="J33" i="36" s="1"/>
  <c r="H32" i="36"/>
  <c r="J32" i="36" s="1"/>
  <c r="H31" i="36"/>
  <c r="J31" i="36" s="1"/>
  <c r="H30" i="36"/>
  <c r="J30" i="36" s="1"/>
  <c r="H29" i="36"/>
  <c r="J29" i="36" s="1"/>
  <c r="H28" i="36"/>
  <c r="J28" i="36" s="1"/>
  <c r="H27" i="36"/>
  <c r="J27" i="36" s="1"/>
  <c r="H26" i="36"/>
  <c r="J26" i="36" s="1"/>
  <c r="H25" i="36"/>
  <c r="J25" i="36" s="1"/>
  <c r="H24" i="36"/>
  <c r="J24" i="36" s="1"/>
  <c r="H23" i="36"/>
  <c r="J23" i="36" s="1"/>
  <c r="H22" i="36"/>
  <c r="J22" i="36" s="1"/>
  <c r="H21" i="36"/>
  <c r="J21" i="36" s="1"/>
  <c r="H20" i="36"/>
  <c r="J20" i="36" s="1"/>
  <c r="H19" i="36"/>
  <c r="J19" i="36" s="1"/>
  <c r="H18" i="36"/>
  <c r="J18" i="36" s="1"/>
  <c r="H17" i="36"/>
  <c r="J17" i="36" s="1"/>
  <c r="H16" i="36"/>
  <c r="J16" i="36" s="1"/>
  <c r="H15" i="36"/>
  <c r="J15" i="36" s="1"/>
  <c r="H14" i="36"/>
  <c r="J14" i="36" s="1"/>
  <c r="H13" i="36"/>
  <c r="J13" i="36" s="1"/>
  <c r="Y28" i="36" l="1"/>
  <c r="X29" i="36"/>
  <c r="F23" i="35"/>
  <c r="F22" i="35"/>
  <c r="F21" i="35"/>
  <c r="F20" i="35"/>
  <c r="F19" i="35"/>
  <c r="E24" i="35" s="1"/>
  <c r="D15" i="35"/>
  <c r="H15" i="35" s="1"/>
  <c r="H14" i="35"/>
  <c r="H13" i="35"/>
  <c r="H12" i="35"/>
  <c r="H11" i="35"/>
  <c r="D10" i="35"/>
  <c r="H10" i="35" s="1"/>
  <c r="D9" i="35"/>
  <c r="H9" i="35" s="1"/>
  <c r="D8" i="35"/>
  <c r="H8" i="35" s="1"/>
  <c r="D7" i="35"/>
  <c r="H7" i="35" s="1"/>
  <c r="D6" i="35"/>
  <c r="H6" i="35" s="1"/>
  <c r="W24" i="33"/>
  <c r="W25" i="33"/>
  <c r="W26" i="33"/>
  <c r="W27" i="33"/>
  <c r="W28" i="33"/>
  <c r="W29" i="33"/>
  <c r="L26" i="33"/>
  <c r="C26" i="33"/>
  <c r="L27" i="33"/>
  <c r="L28" i="33"/>
  <c r="L29" i="33"/>
  <c r="P26" i="33"/>
  <c r="P27" i="33"/>
  <c r="P28" i="33"/>
  <c r="P29" i="33"/>
  <c r="D26" i="33"/>
  <c r="D27" i="33"/>
  <c r="D28" i="33"/>
  <c r="D29" i="33"/>
  <c r="C27" i="33"/>
  <c r="V27" i="33" s="1"/>
  <c r="C28" i="33"/>
  <c r="V28" i="33" s="1"/>
  <c r="C29" i="33"/>
  <c r="Q29" i="33" s="1"/>
  <c r="A101" i="1"/>
  <c r="C113" i="1" s="1"/>
  <c r="H16" i="35" l="1"/>
  <c r="H18" i="35" s="1"/>
  <c r="Y29" i="36"/>
  <c r="X30" i="36"/>
  <c r="Q28" i="33"/>
  <c r="Q26" i="33"/>
  <c r="V26" i="33"/>
  <c r="Q27" i="33"/>
  <c r="Y30" i="36" l="1"/>
  <c r="X31" i="36"/>
  <c r="H23" i="35"/>
  <c r="H22" i="35"/>
  <c r="Y31" i="36" l="1"/>
  <c r="X32" i="36"/>
  <c r="S30" i="33"/>
  <c r="R30" i="33"/>
  <c r="P25" i="33"/>
  <c r="X33" i="36" l="1"/>
  <c r="Y33" i="36" s="1"/>
  <c r="Y32" i="36"/>
  <c r="B24" i="1"/>
  <c r="B25" i="1"/>
  <c r="B26" i="1"/>
  <c r="B27" i="1"/>
  <c r="B28" i="1"/>
  <c r="B29" i="1"/>
  <c r="B23" i="1"/>
  <c r="B30" i="1"/>
  <c r="B31" i="1"/>
  <c r="K70" i="4" l="1"/>
  <c r="K68" i="4"/>
  <c r="K67" i="4"/>
  <c r="M66" i="4"/>
  <c r="K66" i="4"/>
  <c r="M65" i="4"/>
  <c r="K65" i="4"/>
  <c r="K64" i="4"/>
  <c r="K63" i="4"/>
  <c r="M69" i="4"/>
  <c r="K69" i="4"/>
  <c r="K62" i="4"/>
  <c r="K48" i="4"/>
  <c r="K59" i="4"/>
  <c r="M48" i="4" l="1"/>
  <c r="E41" i="33"/>
  <c r="F41" i="33"/>
  <c r="AH7" i="33"/>
  <c r="B30" i="33"/>
  <c r="E30" i="33"/>
  <c r="F30" i="33"/>
  <c r="G30" i="33"/>
  <c r="H30" i="33"/>
  <c r="J30" i="33"/>
  <c r="K30" i="33"/>
  <c r="L25" i="33"/>
  <c r="D25" i="33"/>
  <c r="C25" i="33"/>
  <c r="AJ8" i="33"/>
  <c r="AJ9" i="33"/>
  <c r="AJ10" i="33"/>
  <c r="AJ11" i="33"/>
  <c r="AJ12" i="33"/>
  <c r="AJ13" i="33"/>
  <c r="AJ14" i="33"/>
  <c r="AJ15" i="33"/>
  <c r="AJ16" i="33"/>
  <c r="AJ17" i="33"/>
  <c r="AJ18" i="33"/>
  <c r="AJ19" i="33"/>
  <c r="AJ20" i="33"/>
  <c r="AJ21" i="33"/>
  <c r="AJ22" i="33"/>
  <c r="AJ23" i="33"/>
  <c r="AJ24" i="33"/>
  <c r="AJ7" i="33"/>
  <c r="AI8" i="33"/>
  <c r="AI9" i="33"/>
  <c r="AI10" i="33"/>
  <c r="AI11" i="33"/>
  <c r="AI12" i="33"/>
  <c r="AI13" i="33"/>
  <c r="AI14" i="33"/>
  <c r="AI15" i="33"/>
  <c r="AI16" i="33"/>
  <c r="AI17" i="33"/>
  <c r="AI18" i="33"/>
  <c r="AI19" i="33"/>
  <c r="AI20" i="33"/>
  <c r="AI21" i="33"/>
  <c r="AI22" i="33"/>
  <c r="AI23" i="33"/>
  <c r="AI24" i="33"/>
  <c r="AI7" i="33"/>
  <c r="AH8" i="33"/>
  <c r="AH9" i="33"/>
  <c r="AH10" i="33"/>
  <c r="AH11" i="33"/>
  <c r="AH12" i="33"/>
  <c r="AH13" i="33"/>
  <c r="AH14" i="33"/>
  <c r="AH15" i="33"/>
  <c r="AH16" i="33"/>
  <c r="AH17" i="33"/>
  <c r="AH18" i="33"/>
  <c r="AH19" i="33"/>
  <c r="AH20" i="33"/>
  <c r="AH21" i="33"/>
  <c r="AH22" i="33"/>
  <c r="AH23" i="33"/>
  <c r="AH24" i="33"/>
  <c r="AG8" i="33"/>
  <c r="AG9" i="33"/>
  <c r="AG10" i="33"/>
  <c r="AG11" i="33"/>
  <c r="AG12" i="33"/>
  <c r="AG13" i="33"/>
  <c r="AG14" i="33"/>
  <c r="AG15" i="33"/>
  <c r="AG16" i="33"/>
  <c r="AG17" i="33"/>
  <c r="AG18" i="33"/>
  <c r="AG19" i="33"/>
  <c r="AG20" i="33"/>
  <c r="AG21" i="33"/>
  <c r="AG22" i="33"/>
  <c r="AG23" i="33"/>
  <c r="AG24" i="33"/>
  <c r="AG7" i="33"/>
  <c r="AF8" i="33"/>
  <c r="AF9" i="33"/>
  <c r="AF10" i="33"/>
  <c r="AF11" i="33"/>
  <c r="AF12" i="33"/>
  <c r="AF14" i="33"/>
  <c r="AF15" i="33"/>
  <c r="AF16" i="33"/>
  <c r="AF17" i="33"/>
  <c r="AF18" i="33"/>
  <c r="AF19" i="33"/>
  <c r="AF20" i="33"/>
  <c r="AF21" i="33"/>
  <c r="AF22" i="33"/>
  <c r="AF23" i="33"/>
  <c r="AF24" i="33"/>
  <c r="AF7" i="33"/>
  <c r="AE7" i="33"/>
  <c r="AE8" i="33"/>
  <c r="AE9" i="33"/>
  <c r="AE10" i="33"/>
  <c r="AE11" i="33"/>
  <c r="AE12" i="33"/>
  <c r="AE13" i="33"/>
  <c r="AE14" i="33"/>
  <c r="AE15" i="33"/>
  <c r="AE16" i="33"/>
  <c r="AE17" i="33"/>
  <c r="AE18" i="33"/>
  <c r="AE19" i="33"/>
  <c r="AE20" i="33"/>
  <c r="AE21" i="33"/>
  <c r="AE22" i="33"/>
  <c r="AE23" i="33"/>
  <c r="AE24" i="33"/>
  <c r="V29" i="33" l="1"/>
  <c r="Q25" i="33"/>
  <c r="V25" i="33"/>
  <c r="I30" i="33"/>
  <c r="C106" i="1" s="1"/>
  <c r="AJ30" i="33"/>
  <c r="K31" i="33" s="1"/>
  <c r="AG30" i="33"/>
  <c r="H31" i="33" s="1"/>
  <c r="AH30" i="33"/>
  <c r="I31" i="33" s="1"/>
  <c r="AI30" i="33"/>
  <c r="J31" i="33" s="1"/>
  <c r="AE30" i="33"/>
  <c r="F31" i="33" s="1"/>
  <c r="E110" i="1" l="1"/>
  <c r="G44" i="33"/>
  <c r="H44" i="33" s="1"/>
  <c r="AF13" i="33"/>
  <c r="AF30" i="33" s="1"/>
  <c r="G31" i="33" s="1"/>
  <c r="D10" i="33"/>
  <c r="G47" i="33" l="1"/>
  <c r="H47" i="33" s="1"/>
  <c r="U22" i="33"/>
  <c r="U23" i="33"/>
  <c r="U24" i="33"/>
  <c r="D19" i="33"/>
  <c r="D15" i="33"/>
  <c r="D11" i="33"/>
  <c r="D7" i="33"/>
  <c r="G46" i="33"/>
  <c r="H46" i="33" s="1"/>
  <c r="G45" i="33"/>
  <c r="H45" i="33" s="1"/>
  <c r="G43" i="33"/>
  <c r="H43" i="33" s="1"/>
  <c r="AC24" i="33"/>
  <c r="AB24" i="33"/>
  <c r="D24" i="33"/>
  <c r="L24" i="33"/>
  <c r="C24" i="33"/>
  <c r="Q24" i="33" s="1"/>
  <c r="B34" i="33"/>
  <c r="AB23" i="33"/>
  <c r="W23" i="33"/>
  <c r="D23" i="33"/>
  <c r="P23" i="33"/>
  <c r="C23" i="33"/>
  <c r="Q23" i="33" s="1"/>
  <c r="AC22" i="33"/>
  <c r="AB22" i="33"/>
  <c r="W22" i="33"/>
  <c r="P22" i="33"/>
  <c r="L22" i="33"/>
  <c r="D22" i="33"/>
  <c r="C22" i="33"/>
  <c r="Q22" i="33" s="1"/>
  <c r="AC21" i="33"/>
  <c r="AB21" i="33"/>
  <c r="W21" i="33"/>
  <c r="U21" i="33"/>
  <c r="P21" i="33"/>
  <c r="L21" i="33"/>
  <c r="D21" i="33"/>
  <c r="C21" i="33"/>
  <c r="V21" i="33" s="1"/>
  <c r="AC20" i="33"/>
  <c r="AB20" i="33"/>
  <c r="W20" i="33"/>
  <c r="U20" i="33"/>
  <c r="P20" i="33"/>
  <c r="L20" i="33"/>
  <c r="D20" i="33"/>
  <c r="C20" i="33"/>
  <c r="Q20" i="33" s="1"/>
  <c r="AC19" i="33"/>
  <c r="AB19" i="33"/>
  <c r="W19" i="33"/>
  <c r="U19" i="33"/>
  <c r="P19" i="33"/>
  <c r="L19" i="33"/>
  <c r="C19" i="33"/>
  <c r="V19" i="33" s="1"/>
  <c r="AC18" i="33"/>
  <c r="AB18" i="33"/>
  <c r="W18" i="33"/>
  <c r="U18" i="33"/>
  <c r="P18" i="33"/>
  <c r="L18" i="33"/>
  <c r="D18" i="33"/>
  <c r="C18" i="33"/>
  <c r="AC17" i="33"/>
  <c r="AB17" i="33"/>
  <c r="W17" i="33"/>
  <c r="U17" i="33"/>
  <c r="P17" i="33"/>
  <c r="L17" i="33"/>
  <c r="D17" i="33"/>
  <c r="C17" i="33"/>
  <c r="Q17" i="33" s="1"/>
  <c r="AC16" i="33"/>
  <c r="AB16" i="33"/>
  <c r="W16" i="33"/>
  <c r="U16" i="33"/>
  <c r="P16" i="33"/>
  <c r="L16" i="33"/>
  <c r="D16" i="33"/>
  <c r="C16" i="33"/>
  <c r="Q16" i="33" s="1"/>
  <c r="AC15" i="33"/>
  <c r="AB15" i="33"/>
  <c r="W15" i="33"/>
  <c r="U15" i="33"/>
  <c r="P15" i="33"/>
  <c r="L15" i="33"/>
  <c r="C15" i="33"/>
  <c r="V15" i="33" s="1"/>
  <c r="AC14" i="33"/>
  <c r="AB14" i="33"/>
  <c r="W14" i="33"/>
  <c r="U14" i="33"/>
  <c r="P14" i="33"/>
  <c r="L14" i="33"/>
  <c r="D14" i="33"/>
  <c r="C14" i="33"/>
  <c r="V14" i="33" s="1"/>
  <c r="AC13" i="33"/>
  <c r="AB13" i="33"/>
  <c r="W13" i="33"/>
  <c r="U13" i="33"/>
  <c r="P13" i="33"/>
  <c r="L13" i="33"/>
  <c r="D13" i="33"/>
  <c r="C13" i="33"/>
  <c r="Q13" i="33" s="1"/>
  <c r="AC12" i="33"/>
  <c r="AB12" i="33"/>
  <c r="W12" i="33"/>
  <c r="U12" i="33"/>
  <c r="P12" i="33"/>
  <c r="L12" i="33"/>
  <c r="D12" i="33"/>
  <c r="C12" i="33"/>
  <c r="Q12" i="33" s="1"/>
  <c r="AC11" i="33"/>
  <c r="AB11" i="33"/>
  <c r="W11" i="33"/>
  <c r="U11" i="33"/>
  <c r="P11" i="33"/>
  <c r="L11" i="33"/>
  <c r="C11" i="33"/>
  <c r="V11" i="33" s="1"/>
  <c r="AC10" i="33"/>
  <c r="AB10" i="33"/>
  <c r="W10" i="33"/>
  <c r="U10" i="33"/>
  <c r="P10" i="33"/>
  <c r="L10" i="33"/>
  <c r="C10" i="33"/>
  <c r="V10" i="33" s="1"/>
  <c r="AC9" i="33"/>
  <c r="AB9" i="33"/>
  <c r="W9" i="33"/>
  <c r="U9" i="33"/>
  <c r="P9" i="33"/>
  <c r="L9" i="33"/>
  <c r="D9" i="33"/>
  <c r="C9" i="33"/>
  <c r="Q9" i="33" s="1"/>
  <c r="AC8" i="33"/>
  <c r="AB8" i="33"/>
  <c r="U8" i="33"/>
  <c r="P8" i="33"/>
  <c r="L8" i="33"/>
  <c r="D8" i="33"/>
  <c r="C8" i="33"/>
  <c r="Q8" i="33" s="1"/>
  <c r="AC7" i="33"/>
  <c r="AB7" i="33"/>
  <c r="W7" i="33"/>
  <c r="U7" i="33"/>
  <c r="P7" i="33"/>
  <c r="L7" i="33"/>
  <c r="C7" i="33"/>
  <c r="Q7" i="33" s="1"/>
  <c r="V18" i="33" l="1"/>
  <c r="C30" i="33"/>
  <c r="D30" i="33"/>
  <c r="U30" i="33"/>
  <c r="V9" i="33"/>
  <c r="W8" i="33"/>
  <c r="W30" i="33" s="1"/>
  <c r="V23" i="33"/>
  <c r="V22" i="33"/>
  <c r="V24" i="33"/>
  <c r="Q21" i="33"/>
  <c r="Y21" i="33" s="1"/>
  <c r="V13" i="33"/>
  <c r="Y9" i="33"/>
  <c r="Z7" i="33"/>
  <c r="Y13" i="33"/>
  <c r="AB30" i="33"/>
  <c r="Y17" i="33"/>
  <c r="Y23" i="33"/>
  <c r="V8" i="33"/>
  <c r="Q10" i="33"/>
  <c r="Z10" i="33" s="1"/>
  <c r="V12" i="33"/>
  <c r="Q14" i="33"/>
  <c r="Y14" i="33" s="1"/>
  <c r="Q18" i="33"/>
  <c r="Z9" i="33"/>
  <c r="Z13" i="33"/>
  <c r="V17" i="33"/>
  <c r="AC23" i="33"/>
  <c r="Z17" i="33"/>
  <c r="V16" i="33"/>
  <c r="V20" i="33"/>
  <c r="Z16" i="33"/>
  <c r="Y16" i="33"/>
  <c r="Z20" i="33"/>
  <c r="Y20" i="33"/>
  <c r="Z24" i="33"/>
  <c r="Y24" i="33"/>
  <c r="Z12" i="33"/>
  <c r="Y12" i="33"/>
  <c r="Z22" i="33"/>
  <c r="Y22" i="33"/>
  <c r="Y7" i="33"/>
  <c r="Q11" i="33"/>
  <c r="Q15" i="33"/>
  <c r="Q19" i="33"/>
  <c r="D31" i="33"/>
  <c r="V7" i="33"/>
  <c r="L23" i="33"/>
  <c r="Z23" i="33" s="1"/>
  <c r="P24" i="33"/>
  <c r="P30" i="33" s="1"/>
  <c r="V30" i="33" l="1"/>
  <c r="C31" i="33" s="1"/>
  <c r="Q30" i="33"/>
  <c r="E31" i="33"/>
  <c r="C10" i="1" s="1"/>
  <c r="L30" i="33"/>
  <c r="C107" i="1" s="1"/>
  <c r="E107" i="1" s="1"/>
  <c r="Z18" i="33"/>
  <c r="B31" i="33"/>
  <c r="Y8" i="33"/>
  <c r="Z8" i="33"/>
  <c r="Z21" i="33"/>
  <c r="Q34" i="33"/>
  <c r="B9" i="1"/>
  <c r="Q32" i="33"/>
  <c r="B7" i="1"/>
  <c r="Y10" i="33"/>
  <c r="Y18" i="33"/>
  <c r="AC30" i="33"/>
  <c r="Z14" i="33"/>
  <c r="Z15" i="33"/>
  <c r="Y15" i="33"/>
  <c r="Z19" i="33"/>
  <c r="Y19" i="33"/>
  <c r="Z11" i="33"/>
  <c r="Y11" i="33"/>
  <c r="Q36" i="33" l="1"/>
  <c r="B8" i="1"/>
  <c r="C7" i="1" s="1"/>
  <c r="Z30" i="33"/>
  <c r="Y30" i="33"/>
  <c r="B59" i="1" l="1"/>
  <c r="B52" i="1"/>
  <c r="B53" i="1"/>
  <c r="B54" i="1"/>
  <c r="B55" i="1"/>
  <c r="B56" i="1"/>
  <c r="M7" i="4" l="1"/>
  <c r="K6" i="4"/>
  <c r="K7" i="4"/>
  <c r="K74" i="4"/>
  <c r="K37" i="4"/>
  <c r="K55" i="4"/>
  <c r="K80" i="4"/>
  <c r="K12" i="4"/>
  <c r="K72" i="4"/>
  <c r="M61" i="4" s="1"/>
  <c r="K75" i="4"/>
  <c r="K76" i="4"/>
  <c r="M76" i="4" s="1"/>
  <c r="K81" i="4"/>
  <c r="K82" i="4"/>
  <c r="K83" i="4"/>
  <c r="M87" i="4" s="1"/>
  <c r="M86" i="4" l="1"/>
  <c r="M85" i="4"/>
  <c r="M75" i="4"/>
  <c r="M84" i="4"/>
  <c r="M72" i="4"/>
  <c r="M37" i="4"/>
  <c r="M74" i="4"/>
  <c r="B81" i="1" l="1"/>
  <c r="B80" i="1"/>
  <c r="K47" i="4"/>
  <c r="O60" i="3"/>
  <c r="O59" i="3"/>
  <c r="O54" i="3"/>
  <c r="O49" i="3"/>
  <c r="O50" i="3"/>
  <c r="O51" i="3"/>
  <c r="O52" i="3"/>
  <c r="O53" i="3"/>
  <c r="O55" i="3"/>
  <c r="O56" i="3"/>
  <c r="O57" i="3"/>
  <c r="O58" i="3"/>
  <c r="O61" i="3"/>
  <c r="O62" i="3"/>
  <c r="O63" i="3"/>
  <c r="O65" i="3" l="1"/>
  <c r="O48" i="3"/>
  <c r="O64" i="3"/>
  <c r="O18" i="3"/>
  <c r="C9" i="1" l="1"/>
  <c r="E113" i="1" l="1"/>
  <c r="B67" i="1" l="1"/>
  <c r="B47" i="1" l="1"/>
  <c r="B37" i="1"/>
  <c r="B87" i="1" l="1"/>
  <c r="K56" i="4"/>
  <c r="K36" i="4"/>
  <c r="K40" i="4"/>
  <c r="K73" i="4" l="1"/>
  <c r="M55" i="4" s="1"/>
  <c r="K24" i="4"/>
  <c r="K78" i="4"/>
  <c r="M82" i="4" s="1"/>
  <c r="K79" i="4"/>
  <c r="K26" i="4"/>
  <c r="M12" i="4" l="1"/>
  <c r="M83" i="4"/>
  <c r="M80" i="4"/>
  <c r="M81" i="4"/>
  <c r="M26" i="4"/>
  <c r="M6" i="4"/>
  <c r="M79" i="4"/>
  <c r="A57" i="1" l="1"/>
  <c r="B57" i="1" s="1"/>
  <c r="B15" i="1"/>
  <c r="A14" i="1" a="1"/>
  <c r="A14" i="1" s="1"/>
  <c r="B77" i="1" l="1"/>
  <c r="B58" i="1"/>
  <c r="B60" i="1"/>
  <c r="B42" i="1" l="1"/>
  <c r="B43" i="1"/>
  <c r="B44" i="1"/>
  <c r="B45" i="1"/>
  <c r="B46" i="1"/>
  <c r="B48" i="1"/>
  <c r="B49" i="1"/>
  <c r="B50" i="1"/>
  <c r="B51" i="1"/>
  <c r="B61" i="1"/>
  <c r="B62" i="1"/>
  <c r="B63" i="1"/>
  <c r="B64" i="1"/>
  <c r="B82" i="1"/>
  <c r="B71" i="1"/>
  <c r="B72" i="1"/>
  <c r="B73" i="1"/>
  <c r="B74" i="1"/>
  <c r="B75" i="1"/>
  <c r="B76" i="1"/>
  <c r="B78" i="1"/>
  <c r="B79" i="1"/>
  <c r="B83" i="1"/>
  <c r="B84" i="1"/>
  <c r="B85" i="1"/>
  <c r="B86" i="1"/>
  <c r="B70" i="1"/>
  <c r="B35" i="1"/>
  <c r="B36" i="1"/>
  <c r="B38" i="1"/>
  <c r="B39" i="1"/>
  <c r="B40" i="1"/>
  <c r="B41" i="1"/>
  <c r="B34" i="1"/>
  <c r="B14" i="1"/>
  <c r="K18" i="4"/>
  <c r="M18" i="4" s="1"/>
  <c r="K16" i="4"/>
  <c r="M16" i="4" s="1"/>
  <c r="K19" i="4"/>
  <c r="K20" i="4"/>
  <c r="K21" i="4"/>
  <c r="K22" i="4"/>
  <c r="M22" i="4" s="1"/>
  <c r="K25" i="4"/>
  <c r="M25" i="4" s="1"/>
  <c r="K23" i="4"/>
  <c r="M23" i="4" s="1"/>
  <c r="K5" i="4"/>
  <c r="M15" i="4" s="1"/>
  <c r="K9" i="4"/>
  <c r="K10" i="4"/>
  <c r="K29" i="4"/>
  <c r="K30" i="4"/>
  <c r="K8" i="4"/>
  <c r="K31" i="4"/>
  <c r="K32" i="4"/>
  <c r="K33" i="4"/>
  <c r="K34" i="4"/>
  <c r="K35" i="4"/>
  <c r="K49" i="4"/>
  <c r="K54" i="4"/>
  <c r="M68" i="4" s="1"/>
  <c r="K28" i="4"/>
  <c r="K52" i="4"/>
  <c r="K42" i="4"/>
  <c r="K4" i="4"/>
  <c r="M14" i="4" s="1"/>
  <c r="M70" i="4"/>
  <c r="K58" i="4"/>
  <c r="K27" i="4"/>
  <c r="K57" i="4"/>
  <c r="K41" i="4"/>
  <c r="K53" i="4"/>
  <c r="M62" i="4" s="1"/>
  <c r="K43" i="4"/>
  <c r="K45" i="4"/>
  <c r="K50" i="4"/>
  <c r="K51" i="4"/>
  <c r="M43" i="4"/>
  <c r="K44" i="4"/>
  <c r="H67" i="3"/>
  <c r="J67" i="3"/>
  <c r="G67" i="3"/>
  <c r="M52" i="4" l="1"/>
  <c r="M63" i="4"/>
  <c r="M20" i="4"/>
  <c r="M59" i="4"/>
  <c r="M78" i="4"/>
  <c r="M67" i="4"/>
  <c r="M64" i="4"/>
  <c r="M19" i="4"/>
  <c r="M40" i="4"/>
  <c r="M21" i="4"/>
  <c r="M10" i="4"/>
  <c r="M24" i="4"/>
  <c r="M9" i="4"/>
  <c r="M42" i="4"/>
  <c r="M44" i="4"/>
  <c r="M45" i="4"/>
  <c r="M47" i="4"/>
  <c r="M73" i="4"/>
  <c r="M35" i="4"/>
  <c r="M41" i="4"/>
  <c r="M4" i="4"/>
  <c r="M29" i="4"/>
  <c r="M57" i="4"/>
  <c r="M49" i="4"/>
  <c r="M51" i="4"/>
  <c r="M50" i="4"/>
  <c r="M27" i="4"/>
  <c r="M31" i="4"/>
  <c r="M58" i="4"/>
  <c r="M34" i="4"/>
  <c r="M8" i="4"/>
  <c r="M32" i="4"/>
  <c r="M53" i="4"/>
  <c r="M54" i="4"/>
  <c r="M56" i="4"/>
  <c r="M33" i="4"/>
  <c r="M36" i="4"/>
  <c r="M30" i="4"/>
  <c r="M5" i="4"/>
  <c r="E104" i="1"/>
  <c r="C16" i="1"/>
  <c r="E18" i="1" s="1"/>
  <c r="I67" i="3"/>
  <c r="C68" i="1"/>
  <c r="C89" i="1"/>
  <c r="C32" i="1"/>
  <c r="E11" i="1" l="1"/>
  <c r="K67" i="3"/>
  <c r="D91" i="1"/>
  <c r="L67" i="3" l="1"/>
  <c r="E20" i="1"/>
  <c r="E93" i="1" s="1"/>
  <c r="E97" i="1" s="1"/>
  <c r="O34" i="3" l="1"/>
  <c r="O30" i="3"/>
  <c r="O43" i="3"/>
  <c r="O41" i="3"/>
  <c r="O27" i="3"/>
  <c r="O45" i="3"/>
  <c r="O38" i="3"/>
  <c r="O16" i="3"/>
  <c r="O31" i="3"/>
  <c r="O15" i="3"/>
  <c r="O9" i="3"/>
  <c r="O42" i="3"/>
  <c r="O17" i="3"/>
  <c r="N67" i="3"/>
  <c r="O7" i="3"/>
  <c r="O32" i="3"/>
  <c r="O33" i="3"/>
  <c r="O46" i="3"/>
  <c r="O29" i="3"/>
  <c r="O44" i="3"/>
  <c r="O40" i="3"/>
  <c r="O35" i="3"/>
  <c r="O39" i="3"/>
  <c r="O10" i="3"/>
  <c r="O8" i="3"/>
  <c r="O47" i="3"/>
  <c r="O28" i="3"/>
  <c r="O67" i="3" l="1"/>
</calcChain>
</file>

<file path=xl/sharedStrings.xml><?xml version="1.0" encoding="utf-8"?>
<sst xmlns="http://schemas.openxmlformats.org/spreadsheetml/2006/main" count="1092" uniqueCount="460">
  <si>
    <t>INGRESOS</t>
  </si>
  <si>
    <t>IVA</t>
  </si>
  <si>
    <t>BASE IMPONIBLE</t>
  </si>
  <si>
    <t>IGTF</t>
  </si>
  <si>
    <t>TASA DE CAMBIO</t>
  </si>
  <si>
    <t>USD</t>
  </si>
  <si>
    <t>Nº FT</t>
  </si>
  <si>
    <t>IT</t>
  </si>
  <si>
    <t>FECHA FACTURA</t>
  </si>
  <si>
    <t>PROVEEDOR</t>
  </si>
  <si>
    <t>RIF</t>
  </si>
  <si>
    <t>NOTA DE ENTREGA</t>
  </si>
  <si>
    <t>Nº CONTROL</t>
  </si>
  <si>
    <t>% RET. IVA</t>
  </si>
  <si>
    <t>RETENCIÓN IVA</t>
  </si>
  <si>
    <t>A PAGAR</t>
  </si>
  <si>
    <t>FECHA</t>
  </si>
  <si>
    <t>RELACION DE GASTOS</t>
  </si>
  <si>
    <t>TIPO DE COMPRA</t>
  </si>
  <si>
    <t>PESCADO</t>
  </si>
  <si>
    <t>FRUTAS Y HORTALIZAS</t>
  </si>
  <si>
    <t>HARINA</t>
  </si>
  <si>
    <t>VIVERES</t>
  </si>
  <si>
    <t>FRUTOS SECOS</t>
  </si>
  <si>
    <t>TIPO DE GASTOS</t>
  </si>
  <si>
    <t>MATERIAL DE OFICINA</t>
  </si>
  <si>
    <t>NOMINA</t>
  </si>
  <si>
    <t>ELECTRICIDAD</t>
  </si>
  <si>
    <t>SERVICIO TRANSPORTE</t>
  </si>
  <si>
    <t>ALQUILERES</t>
  </si>
  <si>
    <t>AGUA</t>
  </si>
  <si>
    <t>SERVICIOS TECNICOS</t>
  </si>
  <si>
    <t>COMPRAS</t>
  </si>
  <si>
    <t>TOTAL GASTOS</t>
  </si>
  <si>
    <t>MATERIAL DE LIMPIEZA</t>
  </si>
  <si>
    <t>CARNE</t>
  </si>
  <si>
    <t>T / E</t>
  </si>
  <si>
    <t>ISLR ANTICIPADO</t>
  </si>
  <si>
    <t>IAE (ALCALDIA)</t>
  </si>
  <si>
    <t>BOLIVARES</t>
  </si>
  <si>
    <t>OTROS PERSONAL</t>
  </si>
  <si>
    <t>OTROS GASTOS</t>
  </si>
  <si>
    <t>EXCELSIOR GAMMA</t>
  </si>
  <si>
    <t>J301420608</t>
  </si>
  <si>
    <t>EXENTO</t>
  </si>
  <si>
    <t>AUTOMERCADOS PLAZAS</t>
  </si>
  <si>
    <t>J306725024</t>
  </si>
  <si>
    <t>COCHE</t>
  </si>
  <si>
    <t>010989/018879</t>
  </si>
  <si>
    <t>VARIOS PROVEEDORES</t>
  </si>
  <si>
    <t>BODEGON DE OISES</t>
  </si>
  <si>
    <t>JAVIER ESPEJO</t>
  </si>
  <si>
    <t xml:space="preserve">PAPELERIA </t>
  </si>
  <si>
    <t>CARMEN RAMIREZ</t>
  </si>
  <si>
    <t>HIDROCAPITAL</t>
  </si>
  <si>
    <t>RELACION DE COMPRAS (DESEMBOLSO)</t>
  </si>
  <si>
    <t>TOTAL COMPRAS</t>
  </si>
  <si>
    <t>Suma de USD</t>
  </si>
  <si>
    <t>DEL MES</t>
  </si>
  <si>
    <t>SI</t>
  </si>
  <si>
    <t>NO</t>
  </si>
  <si>
    <t>DEL  MES</t>
  </si>
  <si>
    <t>GASTOS</t>
  </si>
  <si>
    <t>PAGADO O POR PAGAR</t>
  </si>
  <si>
    <t>PAGADO</t>
  </si>
  <si>
    <t>POR PAGAR</t>
  </si>
  <si>
    <t>FECHA  FACTURA</t>
  </si>
  <si>
    <t>Total general</t>
  </si>
  <si>
    <t>MARZO</t>
  </si>
  <si>
    <t>ENERO</t>
  </si>
  <si>
    <t>FEBRERO</t>
  </si>
  <si>
    <t>ABRIL</t>
  </si>
  <si>
    <t>ENTRADA Z</t>
  </si>
  <si>
    <t>RETENCION ISLR</t>
  </si>
  <si>
    <t>UTILIDAD BRUTA</t>
  </si>
  <si>
    <t>INTERNET</t>
  </si>
  <si>
    <t>IMPRENTA</t>
  </si>
  <si>
    <t>FECHA DE PAGO</t>
  </si>
  <si>
    <t>JUNIO</t>
  </si>
  <si>
    <t>CANTV</t>
  </si>
  <si>
    <t>JULIO</t>
  </si>
  <si>
    <t>MAYO</t>
  </si>
  <si>
    <t>VENTAS EXPRESADA  EN $</t>
  </si>
  <si>
    <t>REPORTE Z</t>
  </si>
  <si>
    <t>EFECTIVO  BOLIVARES</t>
  </si>
  <si>
    <t>VENTAS SIN IVA</t>
  </si>
  <si>
    <t>VENTAS (CON IVA)</t>
  </si>
  <si>
    <t>AGOSTO</t>
  </si>
  <si>
    <t>SERVICIOS INFORMATICOS</t>
  </si>
  <si>
    <t>MES</t>
  </si>
  <si>
    <t>INFORMATIVO</t>
  </si>
  <si>
    <t>PERMISOLOGIA</t>
  </si>
  <si>
    <t>FECHA PAGO</t>
  </si>
  <si>
    <t>OCTUBRE</t>
  </si>
  <si>
    <t>NOVIEMBRE</t>
  </si>
  <si>
    <t>SEPTIEMBRE</t>
  </si>
  <si>
    <t>DICIEMBRE</t>
  </si>
  <si>
    <t>REPOSICION DE MERCANCIA</t>
  </si>
  <si>
    <t>HONORARIOS PROFESIONALES</t>
  </si>
  <si>
    <t>LEY DE PENSIONES</t>
  </si>
  <si>
    <t>NE</t>
  </si>
  <si>
    <t>MONEDA EXTRANJERA</t>
  </si>
  <si>
    <t>GLOBAL IT SYSTEM, C.A.</t>
  </si>
  <si>
    <t>SERVICIO MTTO DE VEHICULOS</t>
  </si>
  <si>
    <t xml:space="preserve">BONO ALIMENTACION </t>
  </si>
  <si>
    <t>COMPLEMENTO BONO ALIMENTACION</t>
  </si>
  <si>
    <t>UNIFORMES</t>
  </si>
  <si>
    <t>ALIMENTOS/ REFRIGERIOS</t>
  </si>
  <si>
    <t>CAFÉ AZUCAR OTROS</t>
  </si>
  <si>
    <t>MATERIALES DE FERRETERIA</t>
  </si>
  <si>
    <t>IVSS</t>
  </si>
  <si>
    <t>LRPE</t>
  </si>
  <si>
    <t>BANAVIH</t>
  </si>
  <si>
    <t>INCES</t>
  </si>
  <si>
    <t>BANCOS</t>
  </si>
  <si>
    <t>FACTS</t>
  </si>
  <si>
    <t>VENTAS EN NE</t>
  </si>
  <si>
    <t>CARNETS</t>
  </si>
  <si>
    <t>VACACIONES</t>
  </si>
  <si>
    <t>UTILIDADES</t>
  </si>
  <si>
    <t>EFECTIVO</t>
  </si>
  <si>
    <t>TOTAL VENTAS</t>
  </si>
  <si>
    <t>EQUIPOS DE COMPUTACIÓN</t>
  </si>
  <si>
    <t>ACTIVOS</t>
  </si>
  <si>
    <t>SEGURIDAD</t>
  </si>
  <si>
    <t>PLATAFORMA DIGITAL</t>
  </si>
  <si>
    <t>INGRESO EXPRESADO EN $</t>
  </si>
  <si>
    <t>ZELLE</t>
  </si>
  <si>
    <t>BINANCE</t>
  </si>
  <si>
    <t>NOTAS DE ENTREGA</t>
  </si>
  <si>
    <t>DIGITEL</t>
  </si>
  <si>
    <t>PRESTAMO BANCARIO</t>
  </si>
  <si>
    <t>CAJA ADMON</t>
  </si>
  <si>
    <t>T / P</t>
  </si>
  <si>
    <t>OBSERVACIONES</t>
  </si>
  <si>
    <t>SERVICIOS DE GPS O SEGURIDAD</t>
  </si>
  <si>
    <t>CONCEPTO</t>
  </si>
  <si>
    <t>LOCTI</t>
  </si>
  <si>
    <t>GASOLINA</t>
  </si>
  <si>
    <t>(Todas)</t>
  </si>
  <si>
    <t>Total</t>
  </si>
  <si>
    <t>GASTOS DE ALMACEN</t>
  </si>
  <si>
    <t>DELIVERYS EN COMPRAS</t>
  </si>
  <si>
    <t>IMPUESTOS PUBLICIDAD</t>
  </si>
  <si>
    <t>COMISIONES BANCARIAS</t>
  </si>
  <si>
    <t>GASTOS BANCARIOS</t>
  </si>
  <si>
    <t>DIF (VTAS-ING)</t>
  </si>
  <si>
    <t>CASHEA</t>
  </si>
  <si>
    <t>**CUENTAS POR COBRAR</t>
  </si>
  <si>
    <t>VENTAS BS</t>
  </si>
  <si>
    <t xml:space="preserve">** INGRESOS </t>
  </si>
  <si>
    <t>BS</t>
  </si>
  <si>
    <t>ME</t>
  </si>
  <si>
    <t>EXPRESADO EN $$</t>
  </si>
  <si>
    <t>**</t>
  </si>
  <si>
    <t>total ventas</t>
  </si>
  <si>
    <t>ventas diarias en $</t>
  </si>
  <si>
    <t xml:space="preserve"> </t>
  </si>
  <si>
    <t>ISLR DEFINITIVA</t>
  </si>
  <si>
    <t>PAGO 25% IVA</t>
  </si>
  <si>
    <t>** SALDOS EN CAJA</t>
  </si>
  <si>
    <t>RETENCIÓN MUNICIPAL</t>
  </si>
  <si>
    <t>ASEO URBANO</t>
  </si>
  <si>
    <t>GASTOS OPERATIVOS</t>
  </si>
  <si>
    <t>TRANSPORTE</t>
  </si>
  <si>
    <t>$</t>
  </si>
  <si>
    <t>** SALDOS EN BANCO</t>
  </si>
  <si>
    <t>RELACION DE ENTRADAS EXPRESADAS EN BS</t>
  </si>
  <si>
    <t>INGRESOS EN $</t>
  </si>
  <si>
    <t>BANESCO PANAMÁ</t>
  </si>
  <si>
    <t>declrado vrs reportes</t>
  </si>
  <si>
    <t>(en blanco)</t>
  </si>
  <si>
    <t>RESULTADO DEL EJERCICIO AL 31-03-2026</t>
  </si>
  <si>
    <t>PAGO FACT (REPOSICION DE MERCANCIA)</t>
  </si>
  <si>
    <t>LEY DEL DEPORTE</t>
  </si>
  <si>
    <t>PAGADO BS</t>
  </si>
  <si>
    <t>** Los montos aquí reflejados son los que tenemos en control de verificación de registro.**</t>
  </si>
  <si>
    <t>ne</t>
  </si>
  <si>
    <t>fct</t>
  </si>
  <si>
    <t>Bs</t>
  </si>
  <si>
    <t>zelle</t>
  </si>
  <si>
    <t>binance</t>
  </si>
  <si>
    <t>OTROS GASTOS ADMINISTRATIVOS</t>
  </si>
  <si>
    <t>GASTOS DE ENVÍO</t>
  </si>
  <si>
    <t>MARKETING GASTOS</t>
  </si>
  <si>
    <t>RODAMIENTO PARA VEHICULOS</t>
  </si>
  <si>
    <t>Copikon Venezuela, C.A.</t>
  </si>
  <si>
    <t>bcos</t>
  </si>
  <si>
    <t>bp</t>
  </si>
  <si>
    <t>bs</t>
  </si>
  <si>
    <t xml:space="preserve">$ </t>
  </si>
  <si>
    <t>Banco</t>
  </si>
  <si>
    <t xml:space="preserve">Zelle </t>
  </si>
  <si>
    <t>Binance</t>
  </si>
  <si>
    <t>BP</t>
  </si>
  <si>
    <t>RENDIMIENTO AL 31-05-2026</t>
  </si>
  <si>
    <t>SALDOS EN BCOS PPLES (CON SALDOS INICIALES)</t>
  </si>
  <si>
    <t>LIQUIDACIONES (PERSONAL)</t>
  </si>
  <si>
    <t>CXC CASHEA</t>
  </si>
  <si>
    <t>TOTAL BOLIVARES</t>
  </si>
  <si>
    <t>TOTAL $</t>
  </si>
  <si>
    <t>,</t>
  </si>
  <si>
    <t>total cuenta por cobrar</t>
  </si>
  <si>
    <t>CONTROL DE CAJA ADMINISTRACIÓN</t>
  </si>
  <si>
    <t>SALIDAS</t>
  </si>
  <si>
    <t>SALDOS FINALES</t>
  </si>
  <si>
    <t>NRO DE RECIBO</t>
  </si>
  <si>
    <t>DESCRIPCION</t>
  </si>
  <si>
    <t>VUELTOS</t>
  </si>
  <si>
    <t>EGRESOS EN CAJA</t>
  </si>
  <si>
    <t>APARTADO</t>
  </si>
  <si>
    <t>USD TOTAL</t>
  </si>
  <si>
    <t>SALDO DE APERTURA</t>
  </si>
  <si>
    <t>GASTOS DE SEGURIDAD</t>
  </si>
  <si>
    <t>PAGO ALQUILER ESTACIONAMIENTO DE TIENDA</t>
  </si>
  <si>
    <t>00-0101</t>
  </si>
  <si>
    <t>00-0102</t>
  </si>
  <si>
    <t>00-0103</t>
  </si>
  <si>
    <t xml:space="preserve">Se finaliza el presente arqueo de caja con un total de USD ______________________________, pasando a </t>
  </si>
  <si>
    <t>firmar en señal de conformidad.</t>
  </si>
  <si>
    <t>Denominación</t>
  </si>
  <si>
    <t>cantidad</t>
  </si>
  <si>
    <t>total efectivo</t>
  </si>
  <si>
    <t>DIFERENCIA</t>
  </si>
  <si>
    <t>Encargado de Caja / Desembolsos</t>
  </si>
  <si>
    <t>FALTANTE</t>
  </si>
  <si>
    <t>SOBRANTE</t>
  </si>
  <si>
    <t>TOTAL</t>
  </si>
  <si>
    <t>Supervisor/ Administracion</t>
  </si>
  <si>
    <t xml:space="preserve">AYUDA SOCIAL DE TRANSPORTE </t>
  </si>
  <si>
    <t>Global IT System, C.A</t>
  </si>
  <si>
    <t>J-40685449-2</t>
  </si>
  <si>
    <t xml:space="preserve">MES: </t>
  </si>
  <si>
    <t>CAJA:</t>
  </si>
  <si>
    <t>1 / RODERICK</t>
  </si>
  <si>
    <t xml:space="preserve">EFECTIVO BS </t>
  </si>
  <si>
    <t>APERTURA</t>
  </si>
  <si>
    <t>FACTURA</t>
  </si>
  <si>
    <t>N/E</t>
  </si>
  <si>
    <t>OTROS</t>
  </si>
  <si>
    <t>SALDO EN CAJA</t>
  </si>
  <si>
    <t>CAJA GERENCIA</t>
  </si>
  <si>
    <t>SALDO FINAL</t>
  </si>
  <si>
    <r>
      <rPr>
        <b/>
        <sz val="12"/>
        <color theme="1"/>
        <rFont val="Calibri"/>
        <family val="2"/>
      </rPr>
      <t>OBSERVACIONES</t>
    </r>
    <r>
      <rPr>
        <b/>
        <sz val="11"/>
        <color theme="1"/>
        <rFont val="Calibri"/>
        <family val="2"/>
      </rPr>
      <t>:</t>
    </r>
    <r>
      <rPr>
        <b/>
        <i/>
        <u/>
        <sz val="11"/>
        <color theme="1"/>
        <rFont val="Calibri"/>
        <family val="2"/>
      </rPr>
      <t xml:space="preserve">  </t>
    </r>
  </si>
  <si>
    <t>Coord. De Administración</t>
  </si>
  <si>
    <t>2 / WENDY</t>
  </si>
  <si>
    <t>ENVIADO A GERENCIA</t>
  </si>
  <si>
    <t xml:space="preserve">TOTAL </t>
  </si>
  <si>
    <t>INICIO:</t>
  </si>
  <si>
    <t xml:space="preserve">INGRESOS </t>
  </si>
  <si>
    <t>EGRESOS</t>
  </si>
  <si>
    <t>T/C</t>
  </si>
  <si>
    <t xml:space="preserve">TOTAL CIERRE EN EFECTIVO BS </t>
  </si>
  <si>
    <t>TOTAL BS AL CAMBIO.</t>
  </si>
  <si>
    <t>Juan Carlos Marquez</t>
  </si>
  <si>
    <t>Carlos Martins</t>
  </si>
  <si>
    <t>DAHUA TECHNOLOGY(HK) LIMITED</t>
  </si>
  <si>
    <t>Jorge Estrella</t>
  </si>
  <si>
    <t>Seintec, C.A</t>
  </si>
  <si>
    <t>Corporacion Eminent Pc C.A</t>
  </si>
  <si>
    <t>Comercializadora Grupo Plus, C.A.</t>
  </si>
  <si>
    <t>Carlos A Martins D</t>
  </si>
  <si>
    <t>Inversiones Miyjop C.A.</t>
  </si>
  <si>
    <t>Alfredo Gomez</t>
  </si>
  <si>
    <t>Industrias Dekotiendas L.C. C.A.</t>
  </si>
  <si>
    <t>Power Link Corp, C.A.</t>
  </si>
  <si>
    <t>SERVICIOS DE PROYECTOS Y CONSULTORIA SGSI 0526, C.A</t>
  </si>
  <si>
    <t>Jesús Bigorra</t>
  </si>
  <si>
    <t>Wr Servicios C.A</t>
  </si>
  <si>
    <t>Emilio J Perez B</t>
  </si>
  <si>
    <t>Dimsop Technology Ve, C.A</t>
  </si>
  <si>
    <t>DEL 01 AL 31 DE JULIO DE 2026</t>
  </si>
  <si>
    <t>00-0104</t>
  </si>
  <si>
    <t>INGRESO</t>
  </si>
  <si>
    <t xml:space="preserve">REPOSICION FONDO DE CAJA </t>
  </si>
  <si>
    <t>00-0105</t>
  </si>
  <si>
    <t>00-0106</t>
  </si>
  <si>
    <t>00-0107</t>
  </si>
  <si>
    <t>00-0108</t>
  </si>
  <si>
    <t>Jefe de caja:</t>
  </si>
  <si>
    <t>Julio</t>
  </si>
  <si>
    <t>Seintec, C.A.</t>
  </si>
  <si>
    <t>Servicios y Proyectos Radalcom, C.A.</t>
  </si>
  <si>
    <t xml:space="preserve">PAGO FACT (REPOSICION DE MERCANCIA) </t>
  </si>
  <si>
    <t>Global Sarpi, C.A.</t>
  </si>
  <si>
    <t>Inversiones Comtek, C.A.</t>
  </si>
  <si>
    <t>PAGO FACT REPOSICION DE MERCANCIA</t>
  </si>
  <si>
    <t>Grupo Comercial Tech, C.A.</t>
  </si>
  <si>
    <t xml:space="preserve">DISTRIBUIDORA EMITECH </t>
  </si>
  <si>
    <t>Copikon Banesco, C.A.</t>
  </si>
  <si>
    <t>Venepac 2020, C.A. BANC BANESCO</t>
  </si>
  <si>
    <t>Inversiones Alvez C.A.</t>
  </si>
  <si>
    <t>MDS TELECOM</t>
  </si>
  <si>
    <t>INTERNET TIENDA Y SALA DE CAPACITACION MES DE JULIO</t>
  </si>
  <si>
    <t>INVERSIONES MAXILOPEZ</t>
  </si>
  <si>
    <t xml:space="preserve">COMPRA CAFÉ / AZUCAR / AGUA </t>
  </si>
  <si>
    <t>WINTERPLAS</t>
  </si>
  <si>
    <t>SERVILLETAS</t>
  </si>
  <si>
    <t xml:space="preserve">SERVICIO TELEFONICO 0212-6683946 </t>
  </si>
  <si>
    <t xml:space="preserve">SERVICIO DE AGUA TIENDA MES DE JUNIO </t>
  </si>
  <si>
    <t>ALCALDIA DE CARACAS</t>
  </si>
  <si>
    <t>ASEO URBANO MES JULIO</t>
  </si>
  <si>
    <t xml:space="preserve">ADMINISTRADORA NAPOLITANO </t>
  </si>
  <si>
    <t xml:space="preserve">ALQUILER LOCAL 1 2 Y 3 MES JULIO </t>
  </si>
  <si>
    <t xml:space="preserve">CORPORACION PARK </t>
  </si>
  <si>
    <t>ALQUILER DE ESTACIONAMIENTO TORRE AMERICA JULIO</t>
  </si>
  <si>
    <t>PLATAFORMA DIGITALES MES JUNIO</t>
  </si>
  <si>
    <t>-</t>
  </si>
  <si>
    <t>AISLANTE TERMICO PARA TRANSPOTE (PANEL)</t>
  </si>
  <si>
    <t xml:space="preserve">INVERSIONES COMTEK </t>
  </si>
  <si>
    <t xml:space="preserve">25% DE IVA </t>
  </si>
  <si>
    <t xml:space="preserve">GLOBAL SARPI </t>
  </si>
  <si>
    <t>RADALCOM</t>
  </si>
  <si>
    <t>SEINTEC</t>
  </si>
  <si>
    <t xml:space="preserve">SAN DIEGO </t>
  </si>
  <si>
    <t>CONDOMINIO SAN DIEGO (TIENDA) MES JUNIO</t>
  </si>
  <si>
    <t xml:space="preserve">INSTALACION DE AISLANTE TERMICO PARA PANEL </t>
  </si>
  <si>
    <t>COPIKON</t>
  </si>
  <si>
    <t>PAGO 25% DE IVA - RET MUNICIPAL</t>
  </si>
  <si>
    <t xml:space="preserve">SENIAT </t>
  </si>
  <si>
    <t>DECLARACION DE IVA 2DA QNA JUNIO</t>
  </si>
  <si>
    <t>RETENCION IVA (PROVEEDORES) 2DA QNA JUNIO</t>
  </si>
  <si>
    <t xml:space="preserve">ANTICIPO ISLR 2DA QNA JUNIO </t>
  </si>
  <si>
    <t>SERVICIO TELEFONICO (0212-761.64.24)</t>
  </si>
  <si>
    <t xml:space="preserve">SIDCAI </t>
  </si>
  <si>
    <t>ANTICIPO LOCTI MES JUNIO 2026</t>
  </si>
  <si>
    <t>CORPOELEC</t>
  </si>
  <si>
    <t>ELECTRICIDAD/RELLENO SANITARIO / ASEO LOCAL 5</t>
  </si>
  <si>
    <t>GLOBAL IT SYSTEM (SR. RENE)</t>
  </si>
  <si>
    <t>COMBUSTIBLE SEMANA DEL 13/07/2026 AL 16/07/2026</t>
  </si>
  <si>
    <t>MST TECHNOLOGIES</t>
  </si>
  <si>
    <t>PLATAFORMA DIGITAL MES JUNIO</t>
  </si>
  <si>
    <t>RESPALDO DE ENERGIA</t>
  </si>
  <si>
    <t xml:space="preserve">IP NET </t>
  </si>
  <si>
    <t xml:space="preserve">INTERNET OFICINA MES DE JULIO </t>
  </si>
  <si>
    <t xml:space="preserve">GESTION LICENCIA CONDUCTOR PARA PANEL </t>
  </si>
  <si>
    <t>TRABAJADORES</t>
  </si>
  <si>
    <t>NOMINA 1ERA QNA JULIO</t>
  </si>
  <si>
    <t>MERCADO LIBRE</t>
  </si>
  <si>
    <t>COMPLEMENTO DE ALIMENTACION 1ERA QNA JULIO</t>
  </si>
  <si>
    <t xml:space="preserve">COMPRA E INSTALACION DE SILENCIADOR PARA PANEL / FILTRO </t>
  </si>
  <si>
    <t>PLANILLA PERMISO DE TRASLADO PANEL + GESTION PERMISO DE TRASLADO DE PANEL 50% (TASA EURO)</t>
  </si>
  <si>
    <t xml:space="preserve">ACEITES PARA CAMBIO DE PANEL </t>
  </si>
  <si>
    <t xml:space="preserve">PAGO 25% DE IVA   </t>
  </si>
  <si>
    <t>DISTRIBUIDORA EMITECH</t>
  </si>
  <si>
    <t>SERVICIO NACIONAL DE CONTRATACIONES</t>
  </si>
  <si>
    <t>TASA POR ACTUALIZACION DE REGISTRO RNC 2026 (ANUAL)</t>
  </si>
  <si>
    <t>GESTION PERMISO DE TRASLADO DE PANEL DIFERENCIA 50% (TASA EURO)</t>
  </si>
  <si>
    <t>SEGURO CARACAS (MOTO)</t>
  </si>
  <si>
    <t xml:space="preserve">DYNAMIC TECNOLOGIA </t>
  </si>
  <si>
    <t>CARGADOR DUAL SOPORTE TECNICO</t>
  </si>
  <si>
    <t>LOS INTOCABLES</t>
  </si>
  <si>
    <t>CAMBIO DE ACEITE PANEL (MANO DE OBRA)</t>
  </si>
  <si>
    <t>ADAPTADOR MARKETING</t>
  </si>
  <si>
    <t>MEGA SOFT</t>
  </si>
  <si>
    <t>PLATAFORMA DIGITAL SERVICIO MES JUNIO</t>
  </si>
  <si>
    <t>CERTIFICADO MEDICO CONDUCTOR</t>
  </si>
  <si>
    <t>SUMINISTROS PLASTICOS CARIBE</t>
  </si>
  <si>
    <t xml:space="preserve">ENVOPLAST NEGROS PARA ENVIOS + BOLSAS </t>
  </si>
  <si>
    <t>VENSPEED</t>
  </si>
  <si>
    <t>TIRROS POR 3 CAJAS</t>
  </si>
  <si>
    <t>ETIQWORLDS</t>
  </si>
  <si>
    <t>ROLLITOS DE ETIQUETAS + DELIVERY</t>
  </si>
  <si>
    <t xml:space="preserve">JESUS BOLIVAR </t>
  </si>
  <si>
    <t>PAGO DE LIQUIDACION</t>
  </si>
  <si>
    <t xml:space="preserve">ROLLOS TERMICOS </t>
  </si>
  <si>
    <t>ELECTRICIDAD/RELLENO SANITARIO / TIENDA JUNIO</t>
  </si>
  <si>
    <t>ITBM</t>
  </si>
  <si>
    <t>PLATAFORMA DIGITAL MES JULIO</t>
  </si>
  <si>
    <t>LAVADO DE MOTO</t>
  </si>
  <si>
    <t>CAMBIO DE ACEITE MOTO</t>
  </si>
  <si>
    <t>FRENOS MOTO</t>
  </si>
  <si>
    <t>CAJA DE MASCARILLAS (TIENDA-TORRE)</t>
  </si>
  <si>
    <t>DIF GASTO MTTO MTO REINTEGRO JUAN MARQUEZ</t>
  </si>
  <si>
    <t xml:space="preserve">DIF GASOLINA PANEL </t>
  </si>
  <si>
    <t xml:space="preserve">BANCO DE VENEZUELA </t>
  </si>
  <si>
    <t>CREDITO BANCARIO Nº 3 CUOTA Nº 08</t>
  </si>
  <si>
    <t>SERVICIOS EMPRESARIALES NGL</t>
  </si>
  <si>
    <t>CONTABILIDAD MENSUAL MES DE JUNIO</t>
  </si>
  <si>
    <t>ANTICIPO DE ISLR</t>
  </si>
  <si>
    <t>RETENCION DE IVA (COMPRAS)</t>
  </si>
  <si>
    <t xml:space="preserve">DECLARACION DE IGTF </t>
  </si>
  <si>
    <t>DECLARACION DE PENSIONES IVSS JUNIO 2026</t>
  </si>
  <si>
    <t>ELECTRICIDAD/RELLENO SANITARIO / TIENDA JULIO</t>
  </si>
  <si>
    <t>ELECTRICIDAD/RELLENO SANITARIO / OFICINA</t>
  </si>
  <si>
    <t xml:space="preserve">DESENGRASANTE PARA JORNADA DE LAVADO EN TIENDA </t>
  </si>
  <si>
    <t xml:space="preserve">LAVADO DE PANEL </t>
  </si>
  <si>
    <t>NOMINA 2DA QNA JULIO</t>
  </si>
  <si>
    <t>LIQUIDACION ( Edil Gil / Franklin Van Der)</t>
  </si>
  <si>
    <t xml:space="preserve">0,5% POR APORTE DE LIQUIDACIONES DE PRESTACIONES SOCIALES </t>
  </si>
  <si>
    <t>VENEPAC</t>
  </si>
  <si>
    <t>25 % DE IVA FACTS  29725-29724-29723-29722-29721-29720</t>
  </si>
  <si>
    <t>FAOV</t>
  </si>
  <si>
    <t>BANAVIH MES MAYO</t>
  </si>
  <si>
    <t>SEGURO SOCIAL MES MAYO</t>
  </si>
  <si>
    <t>RETENCIONES MUNICIPALES MES DE JUNIO</t>
  </si>
  <si>
    <t>INVERSIONES TORMES</t>
  </si>
  <si>
    <t>INSUMOS DE LIMPIEZA</t>
  </si>
  <si>
    <t xml:space="preserve">ALQUILER LOCAL 5 MES DE JULIO </t>
  </si>
  <si>
    <t>SGSI</t>
  </si>
  <si>
    <t xml:space="preserve">HONORARIOS PROFESIONALES MES JULIO </t>
  </si>
  <si>
    <t>DEEPCOMPANY</t>
  </si>
  <si>
    <t xml:space="preserve">PLATAFORMA DIGITAL MES DE JULIO </t>
  </si>
  <si>
    <t xml:space="preserve">VEHICLE SECURITY </t>
  </si>
  <si>
    <t>SERVICIO DE SEGURIDAD MES DE JULIO</t>
  </si>
  <si>
    <t xml:space="preserve">CONTABILIDAD MENSUAL MES DE MAYO </t>
  </si>
  <si>
    <t xml:space="preserve">CORPORACION DIGITEL </t>
  </si>
  <si>
    <t>SERVICIO TELEFONICO MAYO (VARIAS LINEAS)</t>
  </si>
  <si>
    <t>MARIA GABRIELA MOLINA (MANGO BAJITO)</t>
  </si>
  <si>
    <t>COMPRA DE MANTAS (DONACIONES)</t>
  </si>
  <si>
    <t xml:space="preserve">LAVADO DE PANEL Y ARREGLO PANEL </t>
  </si>
  <si>
    <t>BONO DE ALIMENTACION MES DE JUNIO</t>
  </si>
  <si>
    <t>2DO TRIMESTRE 2026 ABRIL - JUNIO</t>
  </si>
  <si>
    <t>CORPO INDUSTRI</t>
  </si>
  <si>
    <t>COMPRA (40) BULTOS DE AGUA (DONACIONES)</t>
  </si>
  <si>
    <t xml:space="preserve">COMISION LINEA DE CREDITO 2 </t>
  </si>
  <si>
    <t>CREDITO BANCARIO Nº 2 CUOTA Nº 10</t>
  </si>
  <si>
    <t>COMBUSTIBLE SEMANA DEL 06/07/2026 AL 10/07/2026</t>
  </si>
  <si>
    <t>PATENTE TIENDA MES JUNIO</t>
  </si>
  <si>
    <t>RETENCIONES DE ISLR MES JUNIO</t>
  </si>
  <si>
    <t xml:space="preserve">IGTF 2DA QNA JUNIO </t>
  </si>
  <si>
    <t>TELECOMUNICACIONES SILVERDATA</t>
  </si>
  <si>
    <t>INTERNET TIENDA MES DE JULIO</t>
  </si>
  <si>
    <t>TIENDA</t>
  </si>
  <si>
    <t>DONACIÓN</t>
  </si>
  <si>
    <t>SEGURO CARACAS</t>
  </si>
  <si>
    <t>SEGUROS</t>
  </si>
  <si>
    <t>RESULTADO ($$)</t>
  </si>
  <si>
    <t>Cuentas Por Cobrar Del 01/07/2026 Hasta 31/07/2026</t>
  </si>
  <si>
    <t>TASA BCV AL 31/07/2026</t>
  </si>
  <si>
    <t>julio</t>
  </si>
  <si>
    <t>ventas julio</t>
  </si>
  <si>
    <t>cuentas por cobrar a junio</t>
  </si>
  <si>
    <t>OnProtec · Cuentas por cobrar</t>
  </si>
  <si>
    <t>Etiquetas de fila</t>
  </si>
  <si>
    <t xml:space="preserve">Suma de Total </t>
  </si>
  <si>
    <t>Suma de Importe adeudado</t>
  </si>
  <si>
    <t>Enrique Mezzina</t>
  </si>
  <si>
    <t>Juan Carlos Bastardo</t>
  </si>
  <si>
    <t>Soluciones Innorbis, C.A.</t>
  </si>
  <si>
    <t>OnProtec · Cuentas por cobrar NE</t>
  </si>
  <si>
    <t>Suma de BASE</t>
  </si>
  <si>
    <t>Suma de IVA</t>
  </si>
  <si>
    <t>Suma de TOTAL</t>
  </si>
  <si>
    <t>Suma de IMPORTE ADEUDADO</t>
  </si>
  <si>
    <t>RETENCION EN TIENDA</t>
  </si>
  <si>
    <t>Mifar Farmaceutica, C.A.</t>
  </si>
  <si>
    <t>OPERACIONES LA CANDELARIA C.A</t>
  </si>
  <si>
    <t>Droguería Mega C.A.</t>
  </si>
  <si>
    <t>CORPODIAGNOSTICA C.A.</t>
  </si>
  <si>
    <t>Rl Seguridad Y Sistemas C.A</t>
  </si>
  <si>
    <t>Minidepositos Alcatraz, C.A.</t>
  </si>
  <si>
    <t>LRG SERV, C.A.</t>
  </si>
  <si>
    <t>ECOPOSADA &amp; SPA SIETE MARES C.A.</t>
  </si>
  <si>
    <t>AUTOMERCADO LOS MOLINOS C.A.</t>
  </si>
  <si>
    <t>Aton Technology,C.A.</t>
  </si>
  <si>
    <t>PENDIENTE POR RETENCION - PAGO</t>
  </si>
  <si>
    <t>Bioclon, C.A.</t>
  </si>
  <si>
    <t>NO PAGADA</t>
  </si>
  <si>
    <t>Inversiones Prosetel, 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</si>
</sst>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Bs.S&quot;#,##0.00;[Red]&quot;Bs.S&quot;\-#,##0.00"/>
    <numFmt numFmtId="44" formatCode="_ &quot;Bs.S&quot;* #,##0.00_ ;_ &quot;Bs.S&quot;* \-#,##0.00_ ;_ &quot;Bs.S&quot;* &quot;-&quot;??_ ;_ @_ "/>
    <numFmt numFmtId="43" formatCode="_ * #,##0.00_ ;_ * \-#,##0.00_ ;_ * &quot;-&quot;??_ ;_ @_ "/>
    <numFmt numFmtId="164" formatCode="dd/mm/yy;@"/>
    <numFmt numFmtId="165" formatCode="_-[$$-45C]* #,##0.00_-;\-[$$-45C]* #,##0.00_-;_-[$$-45C]* &quot;-&quot;??_-;_-@_-"/>
    <numFmt numFmtId="166" formatCode="[$$-45C]#,##0.00"/>
    <numFmt numFmtId="167" formatCode="dd/mm/yyyy;@"/>
    <numFmt numFmtId="168" formatCode="_-[$$-540A]* #,##0.00_ ;_-[$$-540A]* \-#,##0.00\ ;_-[$$-540A]* &quot;-&quot;??_ ;_-@_ "/>
    <numFmt numFmtId="169" formatCode="yyyy\-mm\-dd"/>
    <numFmt numFmtId="170" formatCode="[$$-540A]#,##0.00"/>
  </numFmts>
  <fonts count="4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10"/>
      <color theme="1"/>
      <name val="Bookman Old Style"/>
      <family val="1"/>
    </font>
    <font>
      <sz val="9"/>
      <color theme="1"/>
      <name val="Bookman Old Style"/>
      <family val="1"/>
    </font>
    <font>
      <b/>
      <i/>
      <sz val="9"/>
      <color theme="1"/>
      <name val="Bookman Old Style"/>
      <family val="1"/>
    </font>
    <font>
      <b/>
      <i/>
      <u/>
      <sz val="9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9"/>
      <name val="Bookman Old Style"/>
      <family val="1"/>
    </font>
    <font>
      <sz val="8"/>
      <color theme="1"/>
      <name val="Bookman Old Style"/>
      <family val="1"/>
    </font>
    <font>
      <b/>
      <sz val="10"/>
      <color theme="0"/>
      <name val="Bookman Old Style"/>
      <family val="1"/>
    </font>
    <font>
      <b/>
      <sz val="9"/>
      <color theme="0"/>
      <name val="Bookman Old Style"/>
      <family val="1"/>
    </font>
    <font>
      <b/>
      <i/>
      <sz val="9"/>
      <color theme="0"/>
      <name val="Bookman Old Style"/>
      <family val="1"/>
    </font>
    <font>
      <sz val="8"/>
      <name val="Calibri"/>
      <family val="2"/>
      <scheme val="minor"/>
    </font>
    <font>
      <sz val="10"/>
      <color rgb="FF1F2937"/>
      <name val="Segoe UI"/>
      <family val="2"/>
    </font>
    <font>
      <b/>
      <sz val="10"/>
      <color rgb="FFFF0000"/>
      <name val="Bookman Old Style"/>
      <family val="1"/>
    </font>
    <font>
      <sz val="9"/>
      <color rgb="FF666666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theme="0"/>
      <name val="Bookman Old Style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rgb="FFFF0000"/>
      <name val="Bookman Old Style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theme="3" tint="0.79998168889431442"/>
        <b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4" tint="-0.249977111117893"/>
        <bgColor rgb="FFF7CAA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0"/>
        <bgColor rgb="FFFBE4D5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6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1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66">
    <xf numFmtId="0" fontId="0" fillId="0" borderId="0" xfId="0"/>
    <xf numFmtId="0" fontId="8" fillId="0" borderId="0" xfId="0" applyFont="1"/>
    <xf numFmtId="4" fontId="0" fillId="0" borderId="0" xfId="0" applyNumberFormat="1"/>
    <xf numFmtId="4" fontId="8" fillId="0" borderId="0" xfId="0" applyNumberFormat="1" applyFont="1"/>
    <xf numFmtId="14" fontId="0" fillId="0" borderId="0" xfId="0" applyNumberForma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vertical="center"/>
    </xf>
    <xf numFmtId="0" fontId="10" fillId="0" borderId="0" xfId="0" applyFont="1"/>
    <xf numFmtId="9" fontId="6" fillId="0" borderId="0" xfId="9" applyFo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3" borderId="0" xfId="0" applyFont="1" applyFill="1"/>
    <xf numFmtId="43" fontId="0" fillId="0" borderId="0" xfId="0" applyNumberFormat="1"/>
    <xf numFmtId="4" fontId="10" fillId="0" borderId="0" xfId="0" applyNumberFormat="1" applyFont="1"/>
    <xf numFmtId="0" fontId="10" fillId="0" borderId="0" xfId="0" pivotButton="1" applyFont="1"/>
    <xf numFmtId="0" fontId="13" fillId="0" borderId="0" xfId="0" applyFont="1" applyAlignment="1">
      <alignment horizontal="center"/>
    </xf>
    <xf numFmtId="0" fontId="15" fillId="0" borderId="0" xfId="0" applyFont="1"/>
    <xf numFmtId="0" fontId="13" fillId="0" borderId="0" xfId="0" applyFont="1"/>
    <xf numFmtId="4" fontId="15" fillId="0" borderId="0" xfId="0" applyNumberFormat="1" applyFont="1"/>
    <xf numFmtId="4" fontId="13" fillId="0" borderId="3" xfId="0" applyNumberFormat="1" applyFont="1" applyBorder="1"/>
    <xf numFmtId="4" fontId="13" fillId="0" borderId="2" xfId="0" applyNumberFormat="1" applyFont="1" applyBorder="1"/>
    <xf numFmtId="43" fontId="15" fillId="0" borderId="0" xfId="1" applyFont="1"/>
    <xf numFmtId="43" fontId="13" fillId="0" borderId="3" xfId="1" applyFont="1" applyBorder="1"/>
    <xf numFmtId="43" fontId="13" fillId="0" borderId="0" xfId="1" applyFont="1"/>
    <xf numFmtId="43" fontId="15" fillId="0" borderId="0" xfId="1" applyFont="1" applyBorder="1"/>
    <xf numFmtId="4" fontId="13" fillId="0" borderId="0" xfId="0" applyNumberFormat="1" applyFont="1"/>
    <xf numFmtId="43" fontId="13" fillId="0" borderId="2" xfId="1" applyFont="1" applyFill="1" applyBorder="1"/>
    <xf numFmtId="43" fontId="15" fillId="0" borderId="0" xfId="1" applyFont="1" applyFill="1"/>
    <xf numFmtId="4" fontId="13" fillId="0" borderId="0" xfId="0" applyNumberFormat="1" applyFont="1" applyAlignment="1">
      <alignment horizontal="right" vertical="center"/>
    </xf>
    <xf numFmtId="4" fontId="13" fillId="0" borderId="3" xfId="0" applyNumberFormat="1" applyFont="1" applyBorder="1" applyAlignment="1">
      <alignment horizontal="right" vertical="center"/>
    </xf>
    <xf numFmtId="43" fontId="13" fillId="0" borderId="1" xfId="1" applyFont="1" applyBorder="1"/>
    <xf numFmtId="4" fontId="13" fillId="4" borderId="1" xfId="0" applyNumberFormat="1" applyFont="1" applyFill="1" applyBorder="1"/>
    <xf numFmtId="4" fontId="15" fillId="0" borderId="8" xfId="0" applyNumberFormat="1" applyFont="1" applyBorder="1"/>
    <xf numFmtId="4" fontId="15" fillId="0" borderId="9" xfId="0" applyNumberFormat="1" applyFont="1" applyBorder="1"/>
    <xf numFmtId="165" fontId="13" fillId="0" borderId="1" xfId="0" applyNumberFormat="1" applyFont="1" applyBorder="1"/>
    <xf numFmtId="0" fontId="16" fillId="0" borderId="0" xfId="0" applyFont="1"/>
    <xf numFmtId="165" fontId="13" fillId="0" borderId="0" xfId="0" applyNumberFormat="1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/>
    </xf>
    <xf numFmtId="43" fontId="15" fillId="0" borderId="0" xfId="1" applyFont="1" applyFill="1" applyBorder="1"/>
    <xf numFmtId="2" fontId="15" fillId="0" borderId="0" xfId="1" applyNumberFormat="1" applyFont="1" applyFill="1" applyBorder="1" applyAlignment="1">
      <alignment horizontal="center"/>
    </xf>
    <xf numFmtId="9" fontId="15" fillId="0" borderId="0" xfId="1" applyNumberFormat="1" applyFont="1" applyFill="1" applyBorder="1"/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43" fontId="13" fillId="2" borderId="4" xfId="1" applyFont="1" applyFill="1" applyBorder="1"/>
    <xf numFmtId="43" fontId="15" fillId="0" borderId="0" xfId="0" applyNumberFormat="1" applyFont="1" applyAlignment="1">
      <alignment horizontal="center"/>
    </xf>
    <xf numFmtId="43" fontId="15" fillId="0" borderId="0" xfId="1" applyFont="1" applyAlignment="1">
      <alignment horizontal="right" vertical="center"/>
    </xf>
    <xf numFmtId="43" fontId="15" fillId="0" borderId="0" xfId="1" applyFont="1" applyAlignment="1">
      <alignment horizontal="center"/>
    </xf>
    <xf numFmtId="49" fontId="15" fillId="0" borderId="0" xfId="1" applyNumberFormat="1" applyFont="1" applyFill="1" applyAlignment="1">
      <alignment horizontal="right"/>
    </xf>
    <xf numFmtId="4" fontId="15" fillId="0" borderId="0" xfId="1" applyNumberFormat="1" applyFont="1" applyFill="1"/>
    <xf numFmtId="43" fontId="15" fillId="0" borderId="0" xfId="1" applyFont="1" applyFill="1" applyAlignment="1">
      <alignment horizontal="center"/>
    </xf>
    <xf numFmtId="49" fontId="15" fillId="0" borderId="0" xfId="1" applyNumberFormat="1" applyFont="1" applyFill="1" applyAlignment="1">
      <alignment horizontal="right" vertical="center"/>
    </xf>
    <xf numFmtId="43" fontId="15" fillId="0" borderId="0" xfId="0" applyNumberFormat="1" applyFont="1"/>
    <xf numFmtId="49" fontId="15" fillId="0" borderId="0" xfId="1" applyNumberFormat="1" applyFont="1" applyAlignment="1">
      <alignment horizontal="right" vertical="center"/>
    </xf>
    <xf numFmtId="4" fontId="15" fillId="0" borderId="0" xfId="1" applyNumberFormat="1" applyFont="1"/>
    <xf numFmtId="43" fontId="15" fillId="0" borderId="0" xfId="1" applyFont="1" applyFill="1" applyAlignment="1">
      <alignment horizontal="center" vertical="center"/>
    </xf>
    <xf numFmtId="0" fontId="14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3" fontId="13" fillId="5" borderId="0" xfId="1" applyFont="1" applyFill="1"/>
    <xf numFmtId="2" fontId="13" fillId="0" borderId="0" xfId="0" applyNumberFormat="1" applyFont="1"/>
    <xf numFmtId="2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49" fontId="13" fillId="0" borderId="4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4" fontId="13" fillId="0" borderId="4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4" fontId="13" fillId="0" borderId="4" xfId="0" applyNumberFormat="1" applyFont="1" applyBorder="1"/>
    <xf numFmtId="43" fontId="13" fillId="0" borderId="0" xfId="0" applyNumberFormat="1" applyFont="1"/>
    <xf numFmtId="9" fontId="13" fillId="0" borderId="0" xfId="9" applyFont="1"/>
    <xf numFmtId="4" fontId="19" fillId="0" borderId="0" xfId="2" applyNumberFormat="1" applyFont="1" applyAlignment="1">
      <alignment horizontal="right" vertical="center"/>
    </xf>
    <xf numFmtId="166" fontId="13" fillId="0" borderId="0" xfId="0" applyNumberFormat="1" applyFont="1"/>
    <xf numFmtId="4" fontId="13" fillId="4" borderId="0" xfId="0" applyNumberFormat="1" applyFont="1" applyFill="1"/>
    <xf numFmtId="0" fontId="20" fillId="0" borderId="0" xfId="0" applyFont="1"/>
    <xf numFmtId="0" fontId="13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43" fontId="13" fillId="6" borderId="4" xfId="1" applyFont="1" applyFill="1" applyBorder="1" applyAlignment="1">
      <alignment horizontal="right" vertical="center"/>
    </xf>
    <xf numFmtId="43" fontId="13" fillId="6" borderId="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center" vertical="center"/>
    </xf>
    <xf numFmtId="16" fontId="15" fillId="0" borderId="0" xfId="0" applyNumberFormat="1" applyFont="1"/>
    <xf numFmtId="0" fontId="13" fillId="6" borderId="15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wrapText="1"/>
    </xf>
    <xf numFmtId="14" fontId="15" fillId="6" borderId="0" xfId="0" applyNumberFormat="1" applyFont="1" applyFill="1" applyAlignment="1">
      <alignment horizontal="center" vertical="center" wrapText="1"/>
    </xf>
    <xf numFmtId="4" fontId="22" fillId="6" borderId="4" xfId="0" applyNumberFormat="1" applyFont="1" applyFill="1" applyBorder="1" applyAlignment="1">
      <alignment horizontal="center" vertical="center" wrapText="1"/>
    </xf>
    <xf numFmtId="4" fontId="22" fillId="6" borderId="4" xfId="0" applyNumberFormat="1" applyFont="1" applyFill="1" applyBorder="1" applyAlignment="1">
      <alignment horizontal="center" vertical="center"/>
    </xf>
    <xf numFmtId="4" fontId="15" fillId="5" borderId="0" xfId="0" applyNumberFormat="1" applyFont="1" applyFill="1" applyAlignment="1">
      <alignment horizontal="center" vertical="center"/>
    </xf>
    <xf numFmtId="2" fontId="15" fillId="5" borderId="0" xfId="0" applyNumberFormat="1" applyFont="1" applyFill="1" applyAlignment="1">
      <alignment horizontal="center" vertical="center"/>
    </xf>
    <xf numFmtId="43" fontId="22" fillId="6" borderId="5" xfId="1" applyFont="1" applyFill="1" applyBorder="1" applyAlignment="1">
      <alignment horizontal="center" vertical="center" wrapText="1"/>
    </xf>
    <xf numFmtId="43" fontId="22" fillId="6" borderId="4" xfId="1" applyFont="1" applyFill="1" applyBorder="1" applyAlignment="1">
      <alignment horizontal="center" vertical="center" wrapText="1"/>
    </xf>
    <xf numFmtId="43" fontId="22" fillId="6" borderId="0" xfId="1" applyFont="1" applyFill="1" applyBorder="1" applyAlignment="1">
      <alignment horizontal="center" vertical="center" wrapText="1"/>
    </xf>
    <xf numFmtId="4" fontId="22" fillId="6" borderId="0" xfId="0" applyNumberFormat="1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43" fontId="15" fillId="5" borderId="0" xfId="0" applyNumberFormat="1" applyFont="1" applyFill="1"/>
    <xf numFmtId="14" fontId="15" fillId="0" borderId="0" xfId="0" applyNumberFormat="1" applyFont="1" applyAlignment="1">
      <alignment horizontal="left" vertical="center"/>
    </xf>
    <xf numFmtId="0" fontId="23" fillId="6" borderId="4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4" fontId="15" fillId="5" borderId="0" xfId="0" applyNumberFormat="1" applyFont="1" applyFill="1"/>
    <xf numFmtId="4" fontId="13" fillId="5" borderId="0" xfId="0" applyNumberFormat="1" applyFont="1" applyFill="1"/>
    <xf numFmtId="0" fontId="13" fillId="5" borderId="0" xfId="0" applyFont="1" applyFill="1"/>
    <xf numFmtId="4" fontId="15" fillId="5" borderId="2" xfId="0" applyNumberFormat="1" applyFont="1" applyFill="1" applyBorder="1"/>
    <xf numFmtId="49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43" fontId="25" fillId="7" borderId="0" xfId="0" applyNumberFormat="1" applyFont="1" applyFill="1" applyAlignment="1">
      <alignment horizontal="right" vertical="center" wrapText="1"/>
    </xf>
    <xf numFmtId="4" fontId="14" fillId="0" borderId="0" xfId="0" applyNumberFormat="1" applyFont="1"/>
    <xf numFmtId="4" fontId="25" fillId="0" borderId="0" xfId="0" applyNumberFormat="1" applyFont="1"/>
    <xf numFmtId="4" fontId="18" fillId="0" borderId="0" xfId="0" applyNumberFormat="1" applyFont="1" applyAlignment="1">
      <alignment horizontal="center"/>
    </xf>
    <xf numFmtId="166" fontId="18" fillId="0" borderId="0" xfId="0" applyNumberFormat="1" applyFont="1"/>
    <xf numFmtId="4" fontId="26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4" fontId="14" fillId="8" borderId="0" xfId="0" applyNumberFormat="1" applyFont="1" applyFill="1"/>
    <xf numFmtId="43" fontId="14" fillId="8" borderId="0" xfId="1" applyFont="1" applyFill="1"/>
    <xf numFmtId="43" fontId="25" fillId="8" borderId="0" xfId="1" applyFont="1" applyFill="1" applyAlignment="1">
      <alignment horizontal="right" vertical="center" wrapText="1"/>
    </xf>
    <xf numFmtId="43" fontId="25" fillId="8" borderId="0" xfId="1" applyFont="1" applyFill="1"/>
    <xf numFmtId="49" fontId="13" fillId="5" borderId="0" xfId="0" applyNumberFormat="1" applyFont="1" applyFill="1" applyAlignment="1">
      <alignment horizontal="center"/>
    </xf>
    <xf numFmtId="49" fontId="15" fillId="5" borderId="0" xfId="0" applyNumberFormat="1" applyFont="1" applyFill="1" applyAlignment="1">
      <alignment horizontal="center"/>
    </xf>
    <xf numFmtId="165" fontId="13" fillId="5" borderId="4" xfId="0" applyNumberFormat="1" applyFont="1" applyFill="1" applyBorder="1" applyAlignment="1">
      <alignment horizontal="center"/>
    </xf>
    <xf numFmtId="44" fontId="13" fillId="5" borderId="4" xfId="0" applyNumberFormat="1" applyFont="1" applyFill="1" applyBorder="1" applyAlignment="1">
      <alignment horizontal="center"/>
    </xf>
    <xf numFmtId="4" fontId="14" fillId="8" borderId="0" xfId="0" applyNumberFormat="1" applyFont="1" applyFill="1" applyAlignment="1">
      <alignment horizontal="right"/>
    </xf>
    <xf numFmtId="0" fontId="13" fillId="6" borderId="4" xfId="0" applyFont="1" applyFill="1" applyBorder="1" applyAlignment="1">
      <alignment vertical="center" wrapText="1"/>
    </xf>
    <xf numFmtId="43" fontId="15" fillId="0" borderId="0" xfId="1" applyFont="1" applyAlignment="1">
      <alignment vertical="center"/>
    </xf>
    <xf numFmtId="43" fontId="15" fillId="0" borderId="0" xfId="0" applyNumberFormat="1" applyFont="1" applyAlignment="1">
      <alignment vertical="center"/>
    </xf>
    <xf numFmtId="43" fontId="13" fillId="0" borderId="0" xfId="1" applyFont="1" applyFill="1" applyAlignment="1">
      <alignment horizontal="center"/>
    </xf>
    <xf numFmtId="0" fontId="1" fillId="0" borderId="0" xfId="2"/>
    <xf numFmtId="0" fontId="15" fillId="0" borderId="0" xfId="2" applyFont="1"/>
    <xf numFmtId="0" fontId="13" fillId="0" borderId="0" xfId="2" applyFont="1"/>
    <xf numFmtId="0" fontId="13" fillId="9" borderId="18" xfId="2" applyFont="1" applyFill="1" applyBorder="1" applyAlignment="1">
      <alignment horizontal="center" vertical="center"/>
    </xf>
    <xf numFmtId="0" fontId="13" fillId="9" borderId="18" xfId="2" applyFont="1" applyFill="1" applyBorder="1" applyAlignment="1">
      <alignment horizontal="center" vertical="center" wrapText="1"/>
    </xf>
    <xf numFmtId="43" fontId="27" fillId="0" borderId="18" xfId="12" applyFont="1" applyBorder="1"/>
    <xf numFmtId="2" fontId="15" fillId="0" borderId="18" xfId="2" applyNumberFormat="1" applyFont="1" applyBorder="1" applyAlignment="1">
      <alignment horizontal="center"/>
    </xf>
    <xf numFmtId="165" fontId="13" fillId="3" borderId="18" xfId="12" applyNumberFormat="1" applyFont="1" applyFill="1" applyBorder="1"/>
    <xf numFmtId="165" fontId="13" fillId="0" borderId="3" xfId="12" applyNumberFormat="1" applyFont="1" applyBorder="1"/>
    <xf numFmtId="43" fontId="15" fillId="0" borderId="0" xfId="12" applyFont="1"/>
    <xf numFmtId="43" fontId="13" fillId="0" borderId="0" xfId="12" applyFont="1" applyAlignment="1">
      <alignment horizontal="center"/>
    </xf>
    <xf numFmtId="43" fontId="13" fillId="0" borderId="0" xfId="12" applyFont="1"/>
    <xf numFmtId="43" fontId="15" fillId="0" borderId="2" xfId="12" applyFont="1" applyBorder="1"/>
    <xf numFmtId="43" fontId="15" fillId="0" borderId="0" xfId="12" applyFont="1" applyBorder="1"/>
    <xf numFmtId="0" fontId="28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center" vertical="center"/>
    </xf>
    <xf numFmtId="4" fontId="28" fillId="0" borderId="0" xfId="0" applyNumberFormat="1" applyFont="1"/>
    <xf numFmtId="4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4" fontId="30" fillId="6" borderId="4" xfId="0" applyNumberFormat="1" applyFont="1" applyFill="1" applyBorder="1" applyAlignment="1">
      <alignment horizontal="center"/>
    </xf>
    <xf numFmtId="164" fontId="14" fillId="0" borderId="14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vertical="center"/>
    </xf>
    <xf numFmtId="4" fontId="30" fillId="6" borderId="5" xfId="0" applyNumberFormat="1" applyFont="1" applyFill="1" applyBorder="1" applyAlignment="1">
      <alignment horizontal="center"/>
    </xf>
    <xf numFmtId="164" fontId="30" fillId="10" borderId="12" xfId="0" applyNumberFormat="1" applyFont="1" applyFill="1" applyBorder="1" applyAlignment="1">
      <alignment horizontal="center" vertical="center" wrapText="1"/>
    </xf>
    <xf numFmtId="164" fontId="14" fillId="6" borderId="13" xfId="0" applyNumberFormat="1" applyFont="1" applyFill="1" applyBorder="1" applyAlignment="1">
      <alignment horizontal="center" vertical="center"/>
    </xf>
    <xf numFmtId="0" fontId="29" fillId="6" borderId="13" xfId="0" applyFont="1" applyFill="1" applyBorder="1" applyAlignment="1">
      <alignment horizontal="center" vertical="center"/>
    </xf>
    <xf numFmtId="4" fontId="29" fillId="6" borderId="13" xfId="0" applyNumberFormat="1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left" vertical="center"/>
    </xf>
    <xf numFmtId="14" fontId="14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vertical="center"/>
    </xf>
    <xf numFmtId="43" fontId="29" fillId="0" borderId="18" xfId="1" applyFont="1" applyBorder="1" applyAlignment="1">
      <alignment horizontal="center" vertical="center"/>
    </xf>
    <xf numFmtId="43" fontId="28" fillId="0" borderId="18" xfId="1" applyFont="1" applyBorder="1" applyAlignment="1">
      <alignment horizontal="center" vertical="center"/>
    </xf>
    <xf numFmtId="0" fontId="28" fillId="11" borderId="18" xfId="0" applyFont="1" applyFill="1" applyBorder="1" applyAlignment="1">
      <alignment horizontal="left" vertical="center"/>
    </xf>
    <xf numFmtId="0" fontId="28" fillId="0" borderId="18" xfId="0" applyFont="1" applyBorder="1" applyAlignment="1">
      <alignment vertical="center"/>
    </xf>
    <xf numFmtId="0" fontId="28" fillId="11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9" fillId="12" borderId="18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" fontId="13" fillId="0" borderId="18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43" fontId="32" fillId="13" borderId="0" xfId="0" applyNumberFormat="1" applyFont="1" applyFill="1" applyAlignment="1">
      <alignment horizontal="center" vertical="center"/>
    </xf>
    <xf numFmtId="4" fontId="28" fillId="0" borderId="18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left"/>
    </xf>
    <xf numFmtId="4" fontId="28" fillId="0" borderId="21" xfId="0" applyNumberFormat="1" applyFont="1" applyBorder="1" applyAlignment="1">
      <alignment vertical="center"/>
    </xf>
    <xf numFmtId="4" fontId="29" fillId="15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4" fontId="29" fillId="11" borderId="0" xfId="0" applyNumberFormat="1" applyFont="1" applyFill="1"/>
    <xf numFmtId="4" fontId="28" fillId="11" borderId="0" xfId="0" applyNumberFormat="1" applyFont="1" applyFill="1"/>
    <xf numFmtId="0" fontId="38" fillId="0" borderId="0" xfId="0" applyFont="1"/>
    <xf numFmtId="44" fontId="0" fillId="0" borderId="0" xfId="0" applyNumberFormat="1"/>
    <xf numFmtId="43" fontId="31" fillId="0" borderId="0" xfId="0" applyNumberFormat="1" applyFont="1" applyAlignment="1">
      <alignment horizontal="left"/>
    </xf>
    <xf numFmtId="44" fontId="31" fillId="0" borderId="0" xfId="0" applyNumberFormat="1" applyFont="1" applyAlignment="1">
      <alignment horizontal="left"/>
    </xf>
    <xf numFmtId="49" fontId="31" fillId="16" borderId="4" xfId="0" applyNumberFormat="1" applyFont="1" applyFill="1" applyBorder="1" applyAlignment="1">
      <alignment horizontal="center"/>
    </xf>
    <xf numFmtId="49" fontId="31" fillId="0" borderId="0" xfId="0" applyNumberFormat="1" applyFont="1" applyAlignment="1">
      <alignment horizontal="center"/>
    </xf>
    <xf numFmtId="44" fontId="31" fillId="0" borderId="0" xfId="0" applyNumberFormat="1" applyFont="1" applyAlignment="1">
      <alignment horizontal="center"/>
    </xf>
    <xf numFmtId="0" fontId="31" fillId="0" borderId="0" xfId="0" applyFont="1" applyAlignment="1">
      <alignment vertical="center"/>
    </xf>
    <xf numFmtId="44" fontId="31" fillId="0" borderId="0" xfId="0" applyNumberFormat="1" applyFont="1" applyAlignment="1">
      <alignment vertical="center"/>
    </xf>
    <xf numFmtId="49" fontId="31" fillId="0" borderId="6" xfId="0" applyNumberFormat="1" applyFont="1" applyBorder="1" applyAlignment="1">
      <alignment horizontal="center"/>
    </xf>
    <xf numFmtId="0" fontId="31" fillId="0" borderId="0" xfId="0" applyFont="1" applyAlignment="1">
      <alignment horizontal="center" vertical="center" wrapText="1"/>
    </xf>
    <xf numFmtId="44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4" fillId="0" borderId="0" xfId="0" applyFont="1"/>
    <xf numFmtId="44" fontId="34" fillId="0" borderId="0" xfId="0" applyNumberFormat="1" applyFont="1"/>
    <xf numFmtId="0" fontId="31" fillId="0" borderId="0" xfId="0" applyFont="1"/>
    <xf numFmtId="44" fontId="31" fillId="0" borderId="0" xfId="0" applyNumberFormat="1" applyFont="1"/>
    <xf numFmtId="0" fontId="40" fillId="19" borderId="23" xfId="0" applyFont="1" applyFill="1" applyBorder="1" applyAlignment="1">
      <alignment horizontal="center" vertical="center" wrapText="1"/>
    </xf>
    <xf numFmtId="0" fontId="40" fillId="19" borderId="24" xfId="0" applyFont="1" applyFill="1" applyBorder="1" applyAlignment="1">
      <alignment horizontal="center" vertical="center" wrapText="1"/>
    </xf>
    <xf numFmtId="44" fontId="40" fillId="19" borderId="24" xfId="0" applyNumberFormat="1" applyFont="1" applyFill="1" applyBorder="1" applyAlignment="1">
      <alignment horizontal="center" vertical="center" wrapText="1"/>
    </xf>
    <xf numFmtId="0" fontId="40" fillId="19" borderId="25" xfId="0" applyFont="1" applyFill="1" applyBorder="1" applyAlignment="1">
      <alignment horizontal="center" vertical="center" wrapText="1"/>
    </xf>
    <xf numFmtId="14" fontId="41" fillId="20" borderId="26" xfId="0" applyNumberFormat="1" applyFont="1" applyFill="1" applyBorder="1"/>
    <xf numFmtId="168" fontId="32" fillId="11" borderId="27" xfId="0" applyNumberFormat="1" applyFont="1" applyFill="1" applyBorder="1" applyAlignment="1">
      <alignment horizontal="center" vertical="center"/>
    </xf>
    <xf numFmtId="168" fontId="32" fillId="20" borderId="28" xfId="0" applyNumberFormat="1" applyFont="1" applyFill="1" applyBorder="1" applyAlignment="1">
      <alignment horizontal="center" vertical="center"/>
    </xf>
    <xf numFmtId="168" fontId="32" fillId="20" borderId="22" xfId="0" applyNumberFormat="1" applyFont="1" applyFill="1" applyBorder="1" applyAlignment="1">
      <alignment horizontal="center" vertical="center"/>
    </xf>
    <xf numFmtId="168" fontId="32" fillId="20" borderId="29" xfId="0" applyNumberFormat="1" applyFont="1" applyFill="1" applyBorder="1" applyAlignment="1">
      <alignment horizontal="center" vertical="center"/>
    </xf>
    <xf numFmtId="14" fontId="41" fillId="20" borderId="30" xfId="0" applyNumberFormat="1" applyFont="1" applyFill="1" applyBorder="1"/>
    <xf numFmtId="168" fontId="31" fillId="0" borderId="15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/>
    </xf>
    <xf numFmtId="168" fontId="31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center" wrapText="1"/>
    </xf>
    <xf numFmtId="0" fontId="44" fillId="0" borderId="0" xfId="0" applyFont="1"/>
    <xf numFmtId="44" fontId="44" fillId="0" borderId="0" xfId="0" applyNumberFormat="1" applyFont="1"/>
    <xf numFmtId="168" fontId="32" fillId="11" borderId="28" xfId="0" applyNumberFormat="1" applyFont="1" applyFill="1" applyBorder="1" applyAlignment="1">
      <alignment horizontal="center" vertical="center"/>
    </xf>
    <xf numFmtId="168" fontId="32" fillId="20" borderId="27" xfId="0" applyNumberFormat="1" applyFont="1" applyFill="1" applyBorder="1" applyAlignment="1">
      <alignment horizontal="center" vertical="center"/>
    </xf>
    <xf numFmtId="168" fontId="32" fillId="20" borderId="18" xfId="0" applyNumberFormat="1" applyFont="1" applyFill="1" applyBorder="1" applyAlignment="1">
      <alignment horizontal="center" vertical="center"/>
    </xf>
    <xf numFmtId="168" fontId="31" fillId="0" borderId="0" xfId="0" applyNumberFormat="1" applyFont="1" applyAlignment="1">
      <alignment horizontal="right" vertical="center"/>
    </xf>
    <xf numFmtId="8" fontId="31" fillId="21" borderId="15" xfId="1" applyNumberFormat="1" applyFont="1" applyFill="1" applyBorder="1" applyAlignment="1">
      <alignment horizontal="center" vertical="center"/>
    </xf>
    <xf numFmtId="0" fontId="40" fillId="19" borderId="31" xfId="0" applyFont="1" applyFill="1" applyBorder="1" applyAlignment="1">
      <alignment horizontal="center" vertical="center" wrapText="1"/>
    </xf>
    <xf numFmtId="0" fontId="40" fillId="19" borderId="32" xfId="0" applyFont="1" applyFill="1" applyBorder="1" applyAlignment="1">
      <alignment horizontal="center" vertical="center" wrapText="1"/>
    </xf>
    <xf numFmtId="44" fontId="40" fillId="19" borderId="12" xfId="0" applyNumberFormat="1" applyFont="1" applyFill="1" applyBorder="1" applyAlignment="1">
      <alignment horizontal="center" vertical="center" wrapText="1"/>
    </xf>
    <xf numFmtId="0" fontId="40" fillId="19" borderId="12" xfId="0" applyFont="1" applyFill="1" applyBorder="1" applyAlignment="1">
      <alignment horizontal="center" vertical="center" wrapText="1"/>
    </xf>
    <xf numFmtId="0" fontId="40" fillId="19" borderId="4" xfId="0" applyFont="1" applyFill="1" applyBorder="1" applyAlignment="1">
      <alignment horizontal="center" vertical="center" wrapText="1"/>
    </xf>
    <xf numFmtId="14" fontId="41" fillId="22" borderId="26" xfId="0" applyNumberFormat="1" applyFont="1" applyFill="1" applyBorder="1"/>
    <xf numFmtId="8" fontId="32" fillId="11" borderId="18" xfId="0" applyNumberFormat="1" applyFont="1" applyFill="1" applyBorder="1" applyAlignment="1">
      <alignment horizontal="center" vertical="center"/>
    </xf>
    <xf numFmtId="44" fontId="32" fillId="23" borderId="18" xfId="0" applyNumberFormat="1" applyFont="1" applyFill="1" applyBorder="1" applyAlignment="1">
      <alignment horizontal="center" vertical="center"/>
    </xf>
    <xf numFmtId="8" fontId="32" fillId="24" borderId="18" xfId="0" applyNumberFormat="1" applyFont="1" applyFill="1" applyBorder="1" applyAlignment="1">
      <alignment horizontal="center" vertical="center"/>
    </xf>
    <xf numFmtId="168" fontId="32" fillId="24" borderId="18" xfId="0" applyNumberFormat="1" applyFont="1" applyFill="1" applyBorder="1" applyAlignment="1">
      <alignment horizontal="center" vertical="center"/>
    </xf>
    <xf numFmtId="43" fontId="32" fillId="25" borderId="33" xfId="0" applyNumberFormat="1" applyFont="1" applyFill="1" applyBorder="1"/>
    <xf numFmtId="44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vertical="top" wrapText="1"/>
    </xf>
    <xf numFmtId="0" fontId="28" fillId="0" borderId="17" xfId="0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168" fontId="32" fillId="11" borderId="34" xfId="0" applyNumberFormat="1" applyFont="1" applyFill="1" applyBorder="1" applyAlignment="1">
      <alignment horizontal="center" vertical="center"/>
    </xf>
    <xf numFmtId="168" fontId="32" fillId="20" borderId="11" xfId="0" applyNumberFormat="1" applyFont="1" applyFill="1" applyBorder="1" applyAlignment="1">
      <alignment horizontal="center" vertical="center"/>
    </xf>
    <xf numFmtId="0" fontId="0" fillId="0" borderId="2" xfId="0" applyBorder="1"/>
    <xf numFmtId="168" fontId="32" fillId="20" borderId="35" xfId="0" applyNumberFormat="1" applyFont="1" applyFill="1" applyBorder="1" applyAlignment="1">
      <alignment horizontal="center" vertical="center"/>
    </xf>
    <xf numFmtId="8" fontId="32" fillId="22" borderId="18" xfId="0" applyNumberFormat="1" applyFont="1" applyFill="1" applyBorder="1" applyAlignment="1">
      <alignment horizontal="center" vertical="center"/>
    </xf>
    <xf numFmtId="44" fontId="32" fillId="24" borderId="18" xfId="0" applyNumberFormat="1" applyFont="1" applyFill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1" fillId="14" borderId="0" xfId="0" applyFont="1" applyFill="1" applyAlignment="1">
      <alignment horizontal="center" vertical="top"/>
    </xf>
    <xf numFmtId="49" fontId="15" fillId="0" borderId="0" xfId="1" applyNumberFormat="1" applyFont="1" applyFill="1" applyBorder="1" applyAlignment="1">
      <alignment horizontal="right" vertical="center"/>
    </xf>
    <xf numFmtId="43" fontId="13" fillId="0" borderId="0" xfId="1" applyFont="1" applyFill="1" applyBorder="1" applyAlignment="1">
      <alignment horizontal="center"/>
    </xf>
    <xf numFmtId="43" fontId="15" fillId="0" borderId="0" xfId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43" fontId="13" fillId="0" borderId="0" xfId="1" applyFont="1" applyFill="1" applyAlignment="1">
      <alignment horizontal="center" vertical="center"/>
    </xf>
    <xf numFmtId="43" fontId="15" fillId="0" borderId="0" xfId="1" applyFont="1" applyFill="1" applyAlignment="1">
      <alignment vertical="center"/>
    </xf>
    <xf numFmtId="165" fontId="13" fillId="0" borderId="1" xfId="12" applyNumberFormat="1" applyFont="1" applyBorder="1"/>
    <xf numFmtId="44" fontId="13" fillId="0" borderId="1" xfId="12" applyNumberFormat="1" applyFont="1" applyBorder="1"/>
    <xf numFmtId="43" fontId="6" fillId="0" borderId="0" xfId="1" applyFont="1"/>
    <xf numFmtId="0" fontId="0" fillId="0" borderId="0" xfId="0" pivotButton="1"/>
    <xf numFmtId="0" fontId="0" fillId="11" borderId="0" xfId="0" applyFill="1"/>
    <xf numFmtId="0" fontId="0" fillId="11" borderId="0" xfId="0" applyFill="1" applyAlignment="1">
      <alignment horizontal="left"/>
    </xf>
    <xf numFmtId="170" fontId="0" fillId="11" borderId="0" xfId="0" applyNumberFormat="1" applyFill="1"/>
    <xf numFmtId="4" fontId="0" fillId="11" borderId="0" xfId="0" applyNumberFormat="1" applyFill="1"/>
    <xf numFmtId="169" fontId="0" fillId="11" borderId="0" xfId="0" applyNumberFormat="1" applyFill="1" applyAlignment="1">
      <alignment horizontal="left" indent="1"/>
    </xf>
    <xf numFmtId="0" fontId="0" fillId="11" borderId="0" xfId="0" applyFill="1" applyAlignment="1">
      <alignment horizontal="left" indent="2"/>
    </xf>
    <xf numFmtId="0" fontId="0" fillId="15" borderId="0" xfId="0" applyFill="1"/>
    <xf numFmtId="0" fontId="0" fillId="15" borderId="0" xfId="0" applyFill="1" applyAlignment="1">
      <alignment horizontal="left"/>
    </xf>
    <xf numFmtId="4" fontId="0" fillId="15" borderId="0" xfId="0" applyNumberFormat="1" applyFill="1"/>
    <xf numFmtId="170" fontId="0" fillId="15" borderId="0" xfId="0" applyNumberFormat="1" applyFill="1"/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4" fontId="13" fillId="5" borderId="1" xfId="0" applyNumberFormat="1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4" fontId="15" fillId="0" borderId="0" xfId="0" applyNumberFormat="1" applyFont="1" applyAlignment="1">
      <alignment horizontal="right" vertical="center"/>
    </xf>
    <xf numFmtId="4" fontId="13" fillId="0" borderId="0" xfId="0" applyNumberFormat="1" applyFont="1" applyAlignment="1">
      <alignment horizontal="right" vertical="center"/>
    </xf>
    <xf numFmtId="0" fontId="22" fillId="6" borderId="0" xfId="0" applyFont="1" applyFill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" fontId="19" fillId="0" borderId="0" xfId="8" applyNumberFormat="1" applyFont="1" applyAlignment="1">
      <alignment horizontal="center" vertical="center"/>
    </xf>
    <xf numFmtId="4" fontId="22" fillId="6" borderId="5" xfId="0" applyNumberFormat="1" applyFont="1" applyFill="1" applyBorder="1" applyAlignment="1">
      <alignment horizontal="center" wrapText="1"/>
    </xf>
    <xf numFmtId="4" fontId="22" fillId="6" borderId="6" xfId="0" applyNumberFormat="1" applyFont="1" applyFill="1" applyBorder="1" applyAlignment="1">
      <alignment horizontal="center" wrapText="1"/>
    </xf>
    <xf numFmtId="4" fontId="22" fillId="6" borderId="7" xfId="0" applyNumberFormat="1" applyFont="1" applyFill="1" applyBorder="1" applyAlignment="1">
      <alignment horizontal="center" wrapText="1"/>
    </xf>
    <xf numFmtId="165" fontId="13" fillId="5" borderId="12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4" fontId="22" fillId="6" borderId="10" xfId="0" applyNumberFormat="1" applyFont="1" applyFill="1" applyBorder="1" applyAlignment="1">
      <alignment horizontal="center"/>
    </xf>
    <xf numFmtId="4" fontId="22" fillId="6" borderId="11" xfId="0" applyNumberFormat="1" applyFont="1" applyFill="1" applyBorder="1" applyAlignment="1">
      <alignment horizontal="center"/>
    </xf>
    <xf numFmtId="4" fontId="22" fillId="6" borderId="13" xfId="0" applyNumberFormat="1" applyFont="1" applyFill="1" applyBorder="1" applyAlignment="1">
      <alignment horizontal="center" vertical="center" wrapText="1"/>
    </xf>
    <xf numFmtId="4" fontId="22" fillId="6" borderId="15" xfId="0" applyNumberFormat="1" applyFont="1" applyFill="1" applyBorder="1" applyAlignment="1">
      <alignment horizontal="center" vertical="center" wrapText="1"/>
    </xf>
    <xf numFmtId="4" fontId="22" fillId="6" borderId="10" xfId="0" applyNumberFormat="1" applyFont="1" applyFill="1" applyBorder="1" applyAlignment="1">
      <alignment horizontal="center" vertical="center"/>
    </xf>
    <xf numFmtId="4" fontId="22" fillId="6" borderId="14" xfId="0" applyNumberFormat="1" applyFont="1" applyFill="1" applyBorder="1" applyAlignment="1">
      <alignment horizontal="center" vertical="center"/>
    </xf>
    <xf numFmtId="4" fontId="22" fillId="6" borderId="11" xfId="0" applyNumberFormat="1" applyFont="1" applyFill="1" applyBorder="1" applyAlignment="1">
      <alignment horizontal="center" vertical="center"/>
    </xf>
    <xf numFmtId="4" fontId="22" fillId="6" borderId="13" xfId="0" applyNumberFormat="1" applyFont="1" applyFill="1" applyBorder="1" applyAlignment="1">
      <alignment horizontal="center" vertical="center"/>
    </xf>
    <xf numFmtId="4" fontId="22" fillId="6" borderId="15" xfId="0" applyNumberFormat="1" applyFont="1" applyFill="1" applyBorder="1" applyAlignment="1">
      <alignment horizontal="center" vertical="center"/>
    </xf>
    <xf numFmtId="4" fontId="22" fillId="6" borderId="5" xfId="0" applyNumberFormat="1" applyFont="1" applyFill="1" applyBorder="1" applyAlignment="1">
      <alignment horizontal="center" vertical="center"/>
    </xf>
    <xf numFmtId="4" fontId="22" fillId="6" borderId="6" xfId="0" applyNumberFormat="1" applyFont="1" applyFill="1" applyBorder="1" applyAlignment="1">
      <alignment horizontal="center" vertical="center"/>
    </xf>
    <xf numFmtId="4" fontId="22" fillId="6" borderId="7" xfId="0" applyNumberFormat="1" applyFont="1" applyFill="1" applyBorder="1" applyAlignment="1">
      <alignment horizontal="center" vertical="center"/>
    </xf>
    <xf numFmtId="4" fontId="22" fillId="6" borderId="12" xfId="0" applyNumberFormat="1" applyFont="1" applyFill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9" borderId="16" xfId="2" applyFont="1" applyFill="1" applyBorder="1" applyAlignment="1">
      <alignment horizontal="center" vertical="center"/>
    </xf>
    <xf numFmtId="0" fontId="13" fillId="9" borderId="17" xfId="2" applyFont="1" applyFill="1" applyBorder="1" applyAlignment="1">
      <alignment horizontal="center" vertical="center"/>
    </xf>
    <xf numFmtId="167" fontId="13" fillId="0" borderId="16" xfId="2" applyNumberFormat="1" applyFont="1" applyBorder="1" applyAlignment="1">
      <alignment horizontal="center"/>
    </xf>
    <xf numFmtId="167" fontId="13" fillId="0" borderId="17" xfId="2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43" fontId="31" fillId="0" borderId="0" xfId="0" applyNumberFormat="1" applyFont="1" applyAlignment="1">
      <alignment horizontal="left"/>
    </xf>
    <xf numFmtId="0" fontId="0" fillId="0" borderId="0" xfId="0"/>
    <xf numFmtId="49" fontId="31" fillId="21" borderId="5" xfId="0" applyNumberFormat="1" applyFont="1" applyFill="1" applyBorder="1" applyAlignment="1">
      <alignment horizontal="center"/>
    </xf>
    <xf numFmtId="49" fontId="31" fillId="21" borderId="7" xfId="0" applyNumberFormat="1" applyFont="1" applyFill="1" applyBorder="1" applyAlignment="1">
      <alignment horizontal="center"/>
    </xf>
    <xf numFmtId="0" fontId="39" fillId="17" borderId="5" xfId="0" applyFont="1" applyFill="1" applyBorder="1" applyAlignment="1">
      <alignment horizontal="center" vertical="center"/>
    </xf>
    <xf numFmtId="0" fontId="39" fillId="17" borderId="6" xfId="0" applyFont="1" applyFill="1" applyBorder="1" applyAlignment="1">
      <alignment horizontal="center" vertical="center"/>
    </xf>
    <xf numFmtId="0" fontId="39" fillId="17" borderId="7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4" fillId="0" borderId="0" xfId="0" applyFont="1"/>
    <xf numFmtId="0" fontId="39" fillId="18" borderId="5" xfId="0" applyFont="1" applyFill="1" applyBorder="1" applyAlignment="1">
      <alignment horizontal="center" vertical="center"/>
    </xf>
    <xf numFmtId="0" fontId="39" fillId="18" borderId="6" xfId="0" applyFont="1" applyFill="1" applyBorder="1" applyAlignment="1">
      <alignment horizontal="center" vertical="center"/>
    </xf>
    <xf numFmtId="0" fontId="39" fillId="18" borderId="7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44" fontId="31" fillId="22" borderId="5" xfId="0" applyNumberFormat="1" applyFont="1" applyFill="1" applyBorder="1" applyAlignment="1">
      <alignment horizontal="left" vertical="center"/>
    </xf>
    <xf numFmtId="44" fontId="31" fillId="22" borderId="7" xfId="0" applyNumberFormat="1" applyFont="1" applyFill="1" applyBorder="1" applyAlignment="1">
      <alignment horizontal="left" vertical="center"/>
    </xf>
    <xf numFmtId="168" fontId="31" fillId="22" borderId="5" xfId="0" applyNumberFormat="1" applyFont="1" applyFill="1" applyBorder="1" applyAlignment="1">
      <alignment horizontal="left" vertical="center"/>
    </xf>
    <xf numFmtId="0" fontId="31" fillId="22" borderId="7" xfId="0" applyFont="1" applyFill="1" applyBorder="1" applyAlignment="1">
      <alignment horizontal="left" vertical="center"/>
    </xf>
    <xf numFmtId="0" fontId="31" fillId="0" borderId="0" xfId="0" applyFont="1" applyAlignment="1">
      <alignment horizontal="left" vertical="top" wrapText="1"/>
    </xf>
    <xf numFmtId="0" fontId="45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1" fillId="0" borderId="10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8" fillId="0" borderId="14" xfId="0" applyFont="1" applyBorder="1" applyAlignment="1">
      <alignment horizontal="center"/>
    </xf>
    <xf numFmtId="164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4" fontId="30" fillId="6" borderId="4" xfId="0" applyNumberFormat="1" applyFont="1" applyFill="1" applyBorder="1" applyAlignment="1">
      <alignment horizontal="center"/>
    </xf>
    <xf numFmtId="4" fontId="30" fillId="6" borderId="19" xfId="0" applyNumberFormat="1" applyFont="1" applyFill="1" applyBorder="1" applyAlignment="1">
      <alignment horizontal="center" vertical="center"/>
    </xf>
    <xf numFmtId="4" fontId="30" fillId="6" borderId="20" xfId="0" applyNumberFormat="1" applyFont="1" applyFill="1" applyBorder="1" applyAlignment="1">
      <alignment horizontal="center" vertical="center"/>
    </xf>
    <xf numFmtId="4" fontId="30" fillId="6" borderId="10" xfId="0" applyNumberFormat="1" applyFont="1" applyFill="1" applyBorder="1" applyAlignment="1">
      <alignment horizontal="center" vertical="center"/>
    </xf>
    <xf numFmtId="4" fontId="30" fillId="6" borderId="11" xfId="0" applyNumberFormat="1" applyFont="1" applyFill="1" applyBorder="1" applyAlignment="1">
      <alignment horizontal="center" vertical="center"/>
    </xf>
    <xf numFmtId="4" fontId="30" fillId="6" borderId="5" xfId="0" applyNumberFormat="1" applyFont="1" applyFill="1" applyBorder="1" applyAlignment="1">
      <alignment horizontal="center"/>
    </xf>
    <xf numFmtId="4" fontId="30" fillId="6" borderId="6" xfId="0" applyNumberFormat="1" applyFont="1" applyFill="1" applyBorder="1" applyAlignment="1">
      <alignment horizontal="center"/>
    </xf>
    <xf numFmtId="0" fontId="31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4" fontId="29" fillId="15" borderId="1" xfId="0" applyNumberFormat="1" applyFont="1" applyFill="1" applyBorder="1" applyAlignment="1">
      <alignment horizontal="right" vertical="center"/>
    </xf>
    <xf numFmtId="4" fontId="29" fillId="0" borderId="0" xfId="0" applyNumberFormat="1" applyFont="1" applyAlignment="1">
      <alignment horizontal="center" vertical="center"/>
    </xf>
  </cellXfs>
  <cellStyles count="15">
    <cellStyle name="Millares" xfId="1" builtinId="3"/>
    <cellStyle name="Millares 2" xfId="12" xr:uid="{D026C07F-336C-4E36-A816-680C86916C24}"/>
    <cellStyle name="Millares 3" xfId="10" xr:uid="{9E83F1CE-08E1-420B-BA4F-873E8D68BBDA}"/>
    <cellStyle name="Millares 4" xfId="13" xr:uid="{A6FB1C13-0E6F-4CCE-B42D-C5FD94B2A819}"/>
    <cellStyle name="Millares 5" xfId="14" xr:uid="{AFEF8BAE-1F78-47D8-B686-F5EFD71B0545}"/>
    <cellStyle name="Normal" xfId="0" builtinId="0"/>
    <cellStyle name="Normal 2" xfId="2" xr:uid="{F9168193-F136-4872-94A6-E5B96D1A931C}"/>
    <cellStyle name="Normal 2 2" xfId="11" xr:uid="{D0AF0601-0D28-4346-B999-ED053CA32280}"/>
    <cellStyle name="Normal 3" xfId="3" xr:uid="{293E5153-CB0E-4DCF-80A3-170419A0B684}"/>
    <cellStyle name="Normal 3 2" xfId="4" xr:uid="{222B8FD6-2A22-4140-8092-2D088A737908}"/>
    <cellStyle name="Normal 4" xfId="5" xr:uid="{1848AA11-5C28-49E0-998B-DD21BEE68DC0}"/>
    <cellStyle name="Normal 4 2" xfId="6" xr:uid="{559CB71B-3B1C-46F4-A1FC-2F3FCA208FDC}"/>
    <cellStyle name="Normal 5" xfId="7" xr:uid="{6C9C6F98-A411-4CDA-9854-890EC588949C}"/>
    <cellStyle name="Normal 5 2" xfId="8" xr:uid="{8A14AA90-1502-4747-BBF6-20031DAF9ABB}"/>
    <cellStyle name="Porcentaje" xfId="9" builtinId="5"/>
  </cellStyles>
  <dxfs count="89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numFmt numFmtId="35" formatCode="_ * #,##0.00_ ;_ * \-#,##0.00_ ;_ * &quot;-&quot;??_ ;_ @_ 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numFmt numFmtId="35" formatCode="_ * #,##0.00_ ;_ * \-#,##0.0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family val="1"/>
        <scheme val="none"/>
      </font>
      <numFmt numFmtId="4" formatCode="#,##0.00"/>
      <fill>
        <patternFill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19" formatCode="d/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19" formatCode="d/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9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164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color theme="1"/>
        <name val="Bookman Old Style"/>
        <family val="1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164" formatCode="dd/m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numFmt numFmtId="164" formatCode="dd/m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ookman Old Style"/>
        <family val="1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002060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142484</xdr:colOff>
      <xdr:row>0</xdr:row>
      <xdr:rowOff>74764</xdr:rowOff>
    </xdr:from>
    <xdr:to>
      <xdr:col>2</xdr:col>
      <xdr:colOff>156576</xdr:colOff>
      <xdr:row>4</xdr:row>
      <xdr:rowOff>89254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684E59C1-B6EF-4B61-88EB-9FCDD1EB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84" y="74764"/>
          <a:ext cx="1501558" cy="797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0</xdr:col>
      <xdr:colOff>857250</xdr:colOff>
      <xdr:row>2</xdr:row>
      <xdr:rowOff>190500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10EE70F1-4FB3-452C-821F-DC3430AE1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8572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314586</xdr:colOff>
      <xdr:row>15</xdr:row>
      <xdr:rowOff>7438</xdr:rowOff>
    </xdr:from>
    <xdr:to>
      <xdr:col>8</xdr:col>
      <xdr:colOff>443631</xdr:colOff>
      <xdr:row>33</xdr:row>
      <xdr:rowOff>84683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031EA1-2E83-43C8-99F9-7F2BA3F5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586" y="3700006"/>
          <a:ext cx="7879524" cy="360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180975</xdr:rowOff>
    </xdr:from>
    <xdr:ext cx="1114425" cy="504825"/>
    <xdr:pic>
      <xdr:nvPicPr>
        <xdr:cNvPr id="4" name="image1.png" descr="ONPROTEC | Página del vendedor">
          <a:extLst>
            <a:ext uri="{FF2B5EF4-FFF2-40B4-BE49-F238E27FC236}">
              <a16:creationId xmlns:a16="http://schemas.microsoft.com/office/drawing/2014/main" id="{48EA86DC-BAA6-4D75-96E1-2D2C6734C7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52950" y="180975"/>
          <a:ext cx="1114425" cy="5048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3009900</xdr:colOff>
      <xdr:row>2</xdr:row>
      <xdr:rowOff>171450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44A21020-F8FD-407B-A167-ACFDDB8AD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50387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7</xdr:col>
      <xdr:colOff>752475</xdr:colOff>
      <xdr:row>1</xdr:row>
      <xdr:rowOff>152400</xdr:rowOff>
    </xdr:to>
    <xdr:pic>
      <xdr:nvPicPr>
        <xdr:cNvPr id="112682" name="Imagen 3">
          <a:extLst>
            <a:ext uri="{FF2B5EF4-FFF2-40B4-BE49-F238E27FC236}">
              <a16:creationId xmlns:a16="http://schemas.microsoft.com/office/drawing/2014/main" id="{62B9ED98-40D9-1FE5-212F-A2630409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0"/>
          <a:ext cx="38766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8</xdr:col>
      <xdr:colOff>485775</xdr:colOff>
      <xdr:row>7</xdr:row>
      <xdr:rowOff>9525</xdr:rowOff>
    </xdr:to>
    <xdr:pic>
      <xdr:nvPicPr>
        <xdr:cNvPr id="111701" name="Imagen 1">
          <a:extLst>
            <a:ext uri="{FF2B5EF4-FFF2-40B4-BE49-F238E27FC236}">
              <a16:creationId xmlns:a16="http://schemas.microsoft.com/office/drawing/2014/main" id="{D4F7624C-DCF8-D440-B86D-4E16D3F5A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952500"/>
          <a:ext cx="35337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733425</xdr:colOff>
      <xdr:row>8</xdr:row>
      <xdr:rowOff>142875</xdr:rowOff>
    </xdr:from>
    <xdr:to>
      <xdr:col>8</xdr:col>
      <xdr:colOff>276225</xdr:colOff>
      <xdr:row>10</xdr:row>
      <xdr:rowOff>66675</xdr:rowOff>
    </xdr:to>
    <xdr:pic>
      <xdr:nvPicPr>
        <xdr:cNvPr id="111702" name="Imagen 1">
          <a:extLst>
            <a:ext uri="{FF2B5EF4-FFF2-40B4-BE49-F238E27FC236}">
              <a16:creationId xmlns:a16="http://schemas.microsoft.com/office/drawing/2014/main" id="{C94202CE-A212-598A-77F7-FCB2BCE3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1666875"/>
          <a:ext cx="3352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ministraci&#243;n\2026\13.%20CONTABILIDAD%20EXTERNA\07.%20JULIO\06.%20CUENTAS%20POR%20COBRAR\CASHEA_GLOBAL%20IT%20SYSTEM,%20C.%20A._202607.xls" TargetMode="External"/><Relationship Id="rId1" Type="http://schemas.openxmlformats.org/officeDocument/2006/relationships/externalLinkPath" Target="file:///Z:\Administraci&#243;n\2026\13.%20CONTABILIDAD%20EXTERNA\07.%20JULIO\06.%20CUENTAS%20POR%20COBRAR\CASHEA_GLOBAL%20IT%20SYSTEM,%20C.%20A._20260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dministraci&#243;n\2026\01.%20ADMINISTRACION\CONTROL%20DE%20INGRESOS%20Y%20EGRESOS%20MENSUAL\CONTROL%20DE%20CAJA%20ADMON%202026.xls" TargetMode="External"/><Relationship Id="rId1" Type="http://schemas.openxmlformats.org/officeDocument/2006/relationships/externalLinkPath" Target="file:///Z:\Administraci&#243;n\2026\01.%20ADMINISTRACION\CONTROL%20DE%20INGRESOS%20Y%20EGRESOS%20MENSUAL\CONTROL%20DE%20CAJA%20ADMON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entas por cobrar Cashea "/>
      <sheetName val="Reporte del periodo"/>
      <sheetName val="Detalles del reporte"/>
      <sheetName val="¿Cómo leer el reporte "/>
      <sheetName val="¿Cómo leer el detalle "/>
    </sheetNames>
    <sheetDataSet>
      <sheetData sheetId="0"/>
      <sheetData sheetId="1"/>
      <sheetData sheetId="2">
        <row r="27">
          <cell r="I27">
            <v>57238.53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JA ADMON DIC"/>
      <sheetName val="CAJA ADMON ENERO"/>
      <sheetName val="CAJA ADMON FEBRERO"/>
      <sheetName val="CAJA ADMON MARZO"/>
      <sheetName val="CAJA ADMON ABR"/>
      <sheetName val="CAJA ADMON MAY"/>
      <sheetName val="CAJA ADMON JUN"/>
      <sheetName val="CAJA ADMON JUL"/>
      <sheetName val="CAJA ADMON AGO"/>
      <sheetName val="CAJA ADMON SEP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H15">
            <v>270</v>
          </cell>
        </row>
        <row r="17">
          <cell r="H17">
            <v>0</v>
          </cell>
        </row>
      </sheetData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.diaz/Downloads/Telegram%20Desktop/ADMON-%20CXC%20CLIENTES%20AL%2030.07.2026%20(2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y Díaz" refreshedDate="46255.667546412034" createdVersion="8" refreshedVersion="8" minRefreshableVersion="3" recordCount="15" xr:uid="{E7E82C29-0E49-41ED-A09F-CB43BA2F415A}">
  <cacheSource type="worksheet">
    <worksheetSource ref="B2:N17" sheet="DETALLE FACTURAS" r:id="rId2"/>
  </cacheSource>
  <cacheFields count="13">
    <cacheField name="Número" numFmtId="4">
      <sharedItems/>
    </cacheField>
    <cacheField name="FACTURA" numFmtId="4">
      <sharedItems/>
    </cacheField>
    <cacheField name="CLIENTE" numFmtId="4">
      <sharedItems count="26">
        <s v="OPERACIONES LA CANDELARIA C.A"/>
        <s v="Mifar Farmaceutica, C.A."/>
        <s v="Droguería Mega C.A."/>
        <s v="CORPODIAGNOSTICA C.A."/>
        <s v="Bioclon, C.A."/>
        <s v="Rl Seguridad Y Sistemas C.A"/>
        <s v="Minidepositos Alcatraz, C.A."/>
        <s v="LRG SERV, C.A."/>
        <s v="Dimsop Technology Ve, C.A"/>
        <s v="ECOPOSADA &amp; SPA SIETE MARES C.A."/>
        <s v="AUTOMERCADO LOS MOLINOS C.A."/>
        <s v="Inversiones Prosetel, C.A."/>
        <s v="Aton Technology,C.A."/>
        <s v="A.P.T. Tecnologia Y Sistemas, C.A." u="1"/>
        <s v="Ingenieria Riebel, C. A." u="1"/>
        <s v="La Palma Real C.A" u="1"/>
        <s v="Besser Solutions C.A." u="1"/>
        <s v="PROLESYS CONSULTORES, C.A" u="1"/>
        <s v="Ingenieria De Telecomunicaciones, C.A." u="1"/>
        <s v="Vehimotors, C.A." u="1"/>
        <s v="ATLAS FITNESS, C.A" u="1"/>
        <s v="Inversiones Hermanos Valero, C.A" u="1"/>
        <s v="GRUPO VENMOTOR, C.A" u="1"/>
        <s v="CORPORACION PUBLICITARIA DE ORIENTE, C.A" u="1"/>
        <s v="Hierros San Felix, C.A." u="1"/>
        <s v="SOLUCIONES ELECTRONICAS VALENCIA C.A." u="1"/>
      </sharedItems>
    </cacheField>
    <cacheField name="FECHA" numFmtId="169">
      <sharedItems containsSemiMixedTypes="0" containsNonDate="0" containsDate="1" containsString="0" minDate="2026-07-29T00:00:00" maxDate="2026-07-31T00:00:00" count="2">
        <d v="2026-07-30T00:00:00"/>
        <d v="2026-07-29T00:00:00"/>
      </sharedItems>
    </cacheField>
    <cacheField name="BASE" numFmtId="4">
      <sharedItems containsSemiMixedTypes="0" containsString="0" containsNumber="1" minValue="12" maxValue="744.13"/>
    </cacheField>
    <cacheField name="IVA" numFmtId="4">
      <sharedItems containsSemiMixedTypes="0" containsString="0" containsNumber="1" minValue="1.92" maxValue="119.0608"/>
    </cacheField>
    <cacheField name="TOTAL" numFmtId="4">
      <sharedItems containsSemiMixedTypes="0" containsString="0" containsNumber="1" minValue="13.92" maxValue="863.19079999999997"/>
    </cacheField>
    <cacheField name="IMPORTE ADEUDADO" numFmtId="4">
      <sharedItems containsSemiMixedTypes="0" containsString="0" containsNumber="1" minValue="1.44" maxValue="773.89"/>
    </cacheField>
    <cacheField name="Estado de pago" numFmtId="4">
      <sharedItems/>
    </cacheField>
    <cacheField name="Estado" numFmtId="4">
      <sharedItems/>
    </cacheField>
    <cacheField name="retenido" numFmtId="43">
      <sharedItems containsSemiMixedTypes="0" containsString="0" containsNumber="1" minValue="1.44" maxValue="89.295600000000007"/>
    </cacheField>
    <cacheField name="Dif" numFmtId="43">
      <sharedItems containsSemiMixedTypes="0" containsString="0" containsNumber="1" minValue="-5.6000000000011596E-3" maxValue="684.59439999999995"/>
    </cacheField>
    <cacheField name="Observacion" numFmtId="0">
      <sharedItems count="7">
        <s v="RETENCION EN TIENDA"/>
        <s v="PENDIENTE POR RETENCION - PAGO"/>
        <s v="NO PAGADA"/>
        <s v="PENDIENTE POR RETENCION" u="1"/>
        <s v="NO PAGADO" u="1"/>
        <s v="RET- TIENDA" u="1"/>
        <s v="P- RE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y Díaz" refreshedDate="46255.667546759258" createdVersion="8" refreshedVersion="8" recordCount="59" xr:uid="{1C9E6D96-E67D-4EF5-BEB9-A0290606E47A}">
  <cacheSource type="worksheet">
    <worksheetSource ref="B6:S65" sheet="COMPRAS FACT"/>
  </cacheSource>
  <cacheFields count="18">
    <cacheField name="FECHA  FACTURA" numFmtId="0">
      <sharedItems containsNonDate="0" containsDate="1" containsString="0" containsBlank="1" minDate="2026-03-13T00:00:00" maxDate="2026-08-01T00:00:00"/>
    </cacheField>
    <cacheField name="PROVEEDOR" numFmtId="0">
      <sharedItems containsBlank="1"/>
    </cacheField>
    <cacheField name="TIPO DE COMPRA" numFmtId="0">
      <sharedItems containsBlank="1" count="3">
        <s v="REPOSICION DE MERCANCIA"/>
        <s v="PAGO 25% IVA"/>
        <m/>
      </sharedItems>
    </cacheField>
    <cacheField name="NOTA DE ENTREGA" numFmtId="0">
      <sharedItems containsNonDate="0" containsString="0" containsBlank="1"/>
    </cacheField>
    <cacheField name="Nº FT" numFmtId="0">
      <sharedItems containsNonDate="0" containsString="0" containsBlank="1"/>
    </cacheField>
    <cacheField name="EXENTO" numFmtId="43">
      <sharedItems containsNonDate="0" containsString="0" containsBlank="1"/>
    </cacheField>
    <cacheField name="BASE IMPONIBLE" numFmtId="43">
      <sharedItems containsNonDate="0" containsString="0" containsBlank="1"/>
    </cacheField>
    <cacheField name="IVA" numFmtId="2">
      <sharedItems containsNonDate="0" containsString="0" containsBlank="1"/>
    </cacheField>
    <cacheField name="% RET. IVA" numFmtId="9">
      <sharedItems containsNonDate="0" containsString="0" containsBlank="1"/>
    </cacheField>
    <cacheField name="RETENCIÓN IVA" numFmtId="4">
      <sharedItems containsNonDate="0" containsString="0" containsBlank="1"/>
    </cacheField>
    <cacheField name="A PAGAR" numFmtId="4">
      <sharedItems containsNonDate="0" containsString="0" containsBlank="1"/>
    </cacheField>
    <cacheField name="TASA DE CAMBIO" numFmtId="4">
      <sharedItems containsString="0" containsBlank="1" containsNumber="1" minValue="700.22" maxValue="880.00000000000011"/>
    </cacheField>
    <cacheField name="USD" numFmtId="4">
      <sharedItems containsString="0" containsBlank="1" containsNumber="1" minValue="0" maxValue="103001"/>
    </cacheField>
    <cacheField name="PAGADO BS" numFmtId="4">
      <sharedItems containsSemiMixedTypes="0" containsString="0" containsNumber="1" minValue="0" maxValue="80134778"/>
    </cacheField>
    <cacheField name="T / P" numFmtId="4">
      <sharedItems containsBlank="1"/>
    </cacheField>
    <cacheField name="DEL MES" numFmtId="0">
      <sharedItems containsBlank="1"/>
    </cacheField>
    <cacheField name="FECHA DE PAGO" numFmtId="0">
      <sharedItems containsNonDate="0" containsDate="1" containsString="0" containsBlank="1" minDate="2026-05-15T00:00:00" maxDate="2026-08-01T00:00:00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y Díaz" refreshedDate="46255.667546990742" createdVersion="8" refreshedVersion="8" recordCount="105" xr:uid="{4E852D22-2DCD-4E23-AAC0-35DA2806A816}">
  <cacheSource type="worksheet">
    <worksheetSource ref="B3:T108" sheet="GASTOS "/>
  </cacheSource>
  <cacheFields count="19">
    <cacheField name="FECHA" numFmtId="164">
      <sharedItems containsNonDate="0" containsDate="1" containsString="0" containsBlank="1" minDate="2026-07-02T00:00:00" maxDate="2026-08-01T00:00:00" count="17"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4T00:00:00"/>
        <d v="2026-07-15T00:00:00"/>
        <d v="2026-07-16T00:00:00"/>
        <d v="2026-07-17T00:00:00"/>
        <d v="2026-07-22T00:00:00"/>
        <d v="2026-07-23T00:00:00"/>
        <d v="2026-07-29T00:00:00"/>
        <d v="2026-07-30T00:00:00"/>
        <d v="2026-07-31T00:00:00"/>
        <m/>
      </sharedItems>
    </cacheField>
    <cacheField name="PROVEEDOR" numFmtId="0">
      <sharedItems containsBlank="1"/>
    </cacheField>
    <cacheField name="CONCEPTO" numFmtId="0">
      <sharedItems containsBlank="1"/>
    </cacheField>
    <cacheField name="TIPO DE GASTOS" numFmtId="0">
      <sharedItems containsBlank="1" count="62">
        <s v="BANAVIH"/>
        <s v="IVSS"/>
        <s v="RETENCIÓN MUNICIPAL"/>
        <s v="MATERIAL DE LIMPIEZA"/>
        <s v="ALQUILERES"/>
        <s v="HONORARIOS PROFESIONALES"/>
        <s v="PLATAFORMA DIGITAL"/>
        <s v="SERVICIOS DE GPS O SEGURIDAD"/>
        <s v="DIGITEL"/>
        <s v="DONACIÓN"/>
        <s v="SERVICIO MTTO DE VEHICULOS"/>
        <s v="INCES"/>
        <s v="SEGURIDAD"/>
        <s v="BONO ALIMENTACION "/>
        <s v="PRESTAMO BANCARIO"/>
        <s v="GASOLINA"/>
        <s v="RETENCION ISLR"/>
        <s v="IGTF"/>
        <s v="IAE (ALCALDIA)"/>
        <s v="INTERNET"/>
        <s v="CAFÉ AZUCAR OTROS"/>
        <s v="MATERIAL DE OFICINA"/>
        <s v="CANTV"/>
        <s v="HIDROCAPITAL"/>
        <s v="ASEO URBANO"/>
        <s v="GASTOS OPERATIVOS"/>
        <s v="IVA"/>
        <s v="RETENCIÓN IVA"/>
        <s v="ISLR ANTICIPADO"/>
        <s v="LOCTI"/>
        <s v="NOMINA"/>
        <s v="COMPLEMENTO BONO ALIMENTACION"/>
        <s v="SEGUROS"/>
        <s v="ELECTRICIDAD"/>
        <s v="OTROS GASTOS"/>
        <s v="PERMISOLOGIA"/>
        <s v="MARKETING GASTOS"/>
        <s v="GASTOS DE ENVÍO"/>
        <s v="OTROS GASTOS ADMINISTRATIVOS"/>
        <s v="LIQUIDACIONES (PERSONAL)"/>
        <s v="LEY DE PENSIONES"/>
        <s v="AYUDA SOCIAL DE TRANSPORTE "/>
        <m/>
        <s v="IMPUESTOS PUBLICIDAD" u="1"/>
        <s v="ALIMENTOS/ REFRIGERIOS" u="1"/>
        <s v="COMISIONES BANCARIAS" u="1"/>
        <s v="UNIFORMES" u="1"/>
        <s v="MATERIALES DE FERRETERIA" u="1"/>
        <s v="SERVICIO TRANSPORTE" u="1"/>
        <s v="GASTOS BANCARIOS" u="1"/>
        <s v="GASTOS DE ALMACEN" u="1"/>
        <s v="CARNETS" u="1"/>
        <s v="SERVICIOS TECNICOS" u="1"/>
        <s v="OTROS PERSONAL" u="1"/>
        <s v="RODAMIENTO PARA VEHICULOS" u="1"/>
        <s v="AGUA" u="1"/>
        <s v="DELIVERYS EN COMPRAS" u="1"/>
        <s v="LEY DEL DEPORTE" u="1"/>
        <s v="TRANSPORTE" u="1"/>
        <s v="LRPE" u="1"/>
        <s v="SERVICIOS INFORMATICOS" u="1"/>
        <s v="ISLR DEFINITIVA" u="1"/>
      </sharedItems>
    </cacheField>
    <cacheField name="NOTA DE ENTREGA" numFmtId="0">
      <sharedItems containsNonDate="0" containsString="0" containsBlank="1"/>
    </cacheField>
    <cacheField name="Nº FT" numFmtId="0">
      <sharedItems containsNonDate="0" containsString="0" containsBlank="1"/>
    </cacheField>
    <cacheField name="Nº CONTROL" numFmtId="0">
      <sharedItems containsNonDate="0" containsString="0" containsBlank="1"/>
    </cacheField>
    <cacheField name="EXENTO" numFmtId="0">
      <sharedItems containsNonDate="0" containsString="0" containsBlank="1"/>
    </cacheField>
    <cacheField name="BASE IMPONIBLE" numFmtId="0">
      <sharedItems containsNonDate="0" containsString="0" containsBlank="1"/>
    </cacheField>
    <cacheField name="IVA" numFmtId="0">
      <sharedItems containsBlank="1" containsMixedTypes="1" containsNumber="1" containsInteger="1" minValue="0" maxValue="0"/>
    </cacheField>
    <cacheField name="% RET. IVA" numFmtId="0">
      <sharedItems containsString="0" containsBlank="1" containsNumber="1" minValue="0.75" maxValue="0.75"/>
    </cacheField>
    <cacheField name="RETENCIÓN IVA" numFmtId="0">
      <sharedItems containsBlank="1" containsMixedTypes="1" containsNumber="1" containsInteger="1" minValue="0" maxValue="0"/>
    </cacheField>
    <cacheField name="A PAGAR" numFmtId="0">
      <sharedItems containsDate="1" containsString="0" containsBlank="1" containsMixedTypes="1" minDate="1899-12-31T00:00:00" maxDate="1899-12-31T00:00:00"/>
    </cacheField>
    <cacheField name="TASA DE CAMBIO" numFmtId="0">
      <sharedItems containsString="0" containsBlank="1" containsNumber="1" minValue="633.36" maxValue="746.63"/>
    </cacheField>
    <cacheField name="USD" numFmtId="43">
      <sharedItems containsString="0" containsBlank="1" containsNumber="1" minValue="0" maxValue="20271.090620138406"/>
    </cacheField>
    <cacheField name="PAGADO BS" numFmtId="43">
      <sharedItems containsString="0" containsBlank="1" containsNumber="1" minValue="106.67" maxValue="15114936.01"/>
    </cacheField>
    <cacheField name="T / P" numFmtId="43">
      <sharedItems containsBlank="1"/>
    </cacheField>
    <cacheField name="DEL  MES" numFmtId="43">
      <sharedItems containsNonDate="0" containsString="0" containsBlank="1"/>
    </cacheField>
    <cacheField name="FECHA PAGO" numFmtId="164">
      <sharedItems containsNonDate="0" containsDate="1" containsString="0" containsBlank="1" minDate="2026-07-01T00:00:00" maxDate="2026-08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00034558"/>
    <s v="66941"/>
    <x v="0"/>
    <x v="0"/>
    <n v="207.75"/>
    <n v="33.24"/>
    <n v="240.99"/>
    <n v="27.53"/>
    <s v="Pagado parcialmente"/>
    <s v="Publicado"/>
    <n v="24.93"/>
    <n v="2.6000000000000014"/>
    <x v="0"/>
  </r>
  <r>
    <s v="00034551"/>
    <s v="66934"/>
    <x v="1"/>
    <x v="0"/>
    <n v="562.29999999999995"/>
    <n v="89.967999999999989"/>
    <n v="652.26799999999992"/>
    <n v="74.510000000000005"/>
    <s v="Pagado parcialmente"/>
    <s v="Publicado"/>
    <n v="67.475999999999999"/>
    <n v="7.034000000000006"/>
    <x v="0"/>
  </r>
  <r>
    <s v="00034543"/>
    <s v="66924"/>
    <x v="2"/>
    <x v="0"/>
    <n v="162.91999999999999"/>
    <n v="26.0672"/>
    <n v="188.98719999999997"/>
    <n v="19.55"/>
    <s v="Pagado parcialmente"/>
    <s v="Publicado"/>
    <n v="19.5504"/>
    <n v="-3.9999999999906777E-4"/>
    <x v="0"/>
  </r>
  <r>
    <s v="00034541"/>
    <s v="66922"/>
    <x v="3"/>
    <x v="0"/>
    <n v="36.72"/>
    <n v="5.8751999999999995"/>
    <n v="42.595199999999998"/>
    <n v="4.41"/>
    <s v="Pagado parcialmente"/>
    <s v="Publicado"/>
    <n v="4.4063999999999997"/>
    <n v="3.6000000000004917E-3"/>
    <x v="0"/>
  </r>
  <r>
    <s v="00034531"/>
    <s v="66911"/>
    <x v="4"/>
    <x v="0"/>
    <n v="324.12"/>
    <n v="51.859200000000001"/>
    <n v="375.97919999999999"/>
    <n v="90.83"/>
    <s v="Pagado parcialmente"/>
    <s v="Publicado"/>
    <n v="38.894400000000005"/>
    <n v="51.935599999999994"/>
    <x v="1"/>
  </r>
  <r>
    <s v="00033269"/>
    <s v="8539"/>
    <x v="5"/>
    <x v="0"/>
    <n v="124.13"/>
    <n v="19.860800000000001"/>
    <n v="143.99080000000001"/>
    <n v="14.89"/>
    <s v="Pagado parcialmente"/>
    <s v="Publicado"/>
    <n v="14.895600000000002"/>
    <n v="-5.6000000000011596E-3"/>
    <x v="0"/>
  </r>
  <r>
    <s v="00033267"/>
    <s v="8536"/>
    <x v="5"/>
    <x v="0"/>
    <n v="233.61"/>
    <n v="37.377600000000001"/>
    <n v="270.98760000000004"/>
    <n v="28.04"/>
    <s v="Pagado parcialmente"/>
    <s v="Publicado"/>
    <n v="28.033200000000001"/>
    <n v="6.7999999999983629E-3"/>
    <x v="0"/>
  </r>
  <r>
    <s v="00033264"/>
    <s v="8531"/>
    <x v="6"/>
    <x v="0"/>
    <n v="229.3"/>
    <n v="36.688000000000002"/>
    <n v="265.988"/>
    <n v="27.52"/>
    <s v="Pagado parcialmente"/>
    <s v="Publicado"/>
    <n v="27.516000000000002"/>
    <n v="3.9999999999977831E-3"/>
    <x v="0"/>
  </r>
  <r>
    <s v="00033261"/>
    <s v="8528"/>
    <x v="7"/>
    <x v="0"/>
    <n v="672.36"/>
    <n v="107.5776"/>
    <n v="779.93759999999997"/>
    <n v="80.69"/>
    <s v="Pagado parcialmente"/>
    <s v="Publicado"/>
    <n v="80.683199999999999"/>
    <n v="6.7999999999983629E-3"/>
    <x v="0"/>
  </r>
  <r>
    <s v="00033259"/>
    <s v="8526"/>
    <x v="8"/>
    <x v="0"/>
    <n v="410.33"/>
    <n v="65.652799999999999"/>
    <n v="475.9828"/>
    <n v="49.24"/>
    <s v="Pagado parcialmente"/>
    <s v="Publicado"/>
    <n v="49.239599999999996"/>
    <n v="4.000000000061732E-4"/>
    <x v="0"/>
  </r>
  <r>
    <s v="00033257"/>
    <s v="8524"/>
    <x v="8"/>
    <x v="0"/>
    <n v="81.45"/>
    <n v="13.032"/>
    <n v="94.481999999999999"/>
    <n v="9.77"/>
    <s v="Pagado parcialmente"/>
    <s v="Publicado"/>
    <n v="9.7740000000000009"/>
    <n v="-4.0000000000013358E-3"/>
    <x v="0"/>
  </r>
  <r>
    <s v="00033254"/>
    <s v="8521"/>
    <x v="9"/>
    <x v="0"/>
    <n v="12"/>
    <n v="1.92"/>
    <n v="13.92"/>
    <n v="1.44"/>
    <s v="Pagado parcialmente"/>
    <s v="Publicado"/>
    <n v="1.44"/>
    <n v="0"/>
    <x v="0"/>
  </r>
  <r>
    <s v="00033240"/>
    <s v="8500"/>
    <x v="10"/>
    <x v="0"/>
    <n v="205.64"/>
    <n v="32.9024"/>
    <n v="238.54239999999999"/>
    <n v="24.68"/>
    <s v="Pagado parcialmente"/>
    <s v="Publicado"/>
    <n v="24.6768"/>
    <n v="3.1999999999996476E-3"/>
    <x v="0"/>
  </r>
  <r>
    <s v="00034494"/>
    <s v="66871"/>
    <x v="11"/>
    <x v="1"/>
    <n v="744.13"/>
    <n v="119.0608"/>
    <n v="863.19079999999997"/>
    <n v="773.89"/>
    <s v="Pagado parcialmente"/>
    <s v="Publicado"/>
    <n v="89.295600000000007"/>
    <n v="684.59439999999995"/>
    <x v="2"/>
  </r>
  <r>
    <s v="00034481"/>
    <s v="66856"/>
    <x v="12"/>
    <x v="1"/>
    <n v="230.67"/>
    <n v="36.907199999999996"/>
    <n v="267.5772"/>
    <n v="27.68"/>
    <s v="Pagado parcialmente"/>
    <s v="Publicado"/>
    <n v="27.680399999999999"/>
    <n v="-3.9999999999906777E-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d v="2026-07-07T00:00:00"/>
    <s v="Seintec, C.A."/>
    <x v="0"/>
    <m/>
    <m/>
    <m/>
    <m/>
    <m/>
    <m/>
    <m/>
    <m/>
    <n v="778"/>
    <n v="103001"/>
    <n v="80134778"/>
    <s v="BANCOS"/>
    <s v="SI"/>
    <d v="2026-07-07T00:00:00"/>
    <s v="PAGO FACT (REPOSICION DE MERCANCIA) "/>
  </r>
  <r>
    <d v="2026-07-07T00:00:00"/>
    <s v="Servicios y Proyectos Radalcom, C.A."/>
    <x v="0"/>
    <m/>
    <m/>
    <m/>
    <m/>
    <m/>
    <m/>
    <m/>
    <m/>
    <n v="755"/>
    <n v="480"/>
    <n v="362400"/>
    <s v="BANCOS"/>
    <s v="SI"/>
    <d v="2026-07-07T00:00:00"/>
    <s v="PAGO FACT (REPOSICION DE MERCANCIA) "/>
  </r>
  <r>
    <d v="2026-07-08T00:00:00"/>
    <s v="Global Sarpi, C.A."/>
    <x v="0"/>
    <m/>
    <m/>
    <m/>
    <m/>
    <m/>
    <m/>
    <m/>
    <m/>
    <n v="800"/>
    <n v="953.81"/>
    <n v="763048"/>
    <s v="BANCOS"/>
    <s v="SI"/>
    <d v="2026-07-08T00:00:00"/>
    <s v="PAGO FACT REPOSICION DE MERCANCIA"/>
  </r>
  <r>
    <d v="2026-07-08T00:00:00"/>
    <s v="Inversiones Comtek, C.A."/>
    <x v="0"/>
    <m/>
    <m/>
    <m/>
    <m/>
    <m/>
    <m/>
    <m/>
    <m/>
    <n v="804"/>
    <n v="1039.55"/>
    <n v="835798.2"/>
    <s v="BANCOS"/>
    <s v="SI"/>
    <d v="2026-07-08T00:00:00"/>
    <s v="PAGO FACT REPOSICION DE MERCANCIA"/>
  </r>
  <r>
    <d v="2026-07-09T00:00:00"/>
    <s v="INVERSIONES COMTEK "/>
    <x v="1"/>
    <m/>
    <m/>
    <m/>
    <m/>
    <m/>
    <m/>
    <m/>
    <m/>
    <n v="700.22"/>
    <n v="47.744894461740593"/>
    <n v="33431.93"/>
    <s v="BANCOS"/>
    <s v="SI"/>
    <d v="2026-07-09T00:00:00"/>
    <s v="PAGO 25% IVA"/>
  </r>
  <r>
    <d v="2026-07-09T00:00:00"/>
    <s v="GLOBAL SARPI "/>
    <x v="1"/>
    <m/>
    <m/>
    <m/>
    <m/>
    <m/>
    <m/>
    <m/>
    <m/>
    <n v="700.22"/>
    <n v="43.589043443489182"/>
    <n v="30521.919999999995"/>
    <s v="BANCOS"/>
    <s v="SI"/>
    <d v="2026-07-09T00:00:00"/>
    <s v="PAGO 25% IVA"/>
  </r>
  <r>
    <d v="2026-07-09T00:00:00"/>
    <s v="RADALCOM"/>
    <x v="1"/>
    <m/>
    <m/>
    <m/>
    <m/>
    <m/>
    <m/>
    <m/>
    <m/>
    <n v="700.22"/>
    <n v="14.232669732369827"/>
    <n v="9966"/>
    <s v="BANCOS"/>
    <s v="SI"/>
    <d v="2026-07-09T00:00:00"/>
    <s v="PAGO 25% IVA"/>
  </r>
  <r>
    <d v="2026-07-09T00:00:00"/>
    <s v="SEINTEC"/>
    <x v="1"/>
    <m/>
    <m/>
    <m/>
    <m/>
    <m/>
    <m/>
    <m/>
    <m/>
    <n v="700.22"/>
    <n v="4577.6914683956475"/>
    <n v="3205391.1200000006"/>
    <s v="BANCOS"/>
    <s v="SI"/>
    <d v="2026-07-09T00:00:00"/>
    <s v="PAGO 25% IVA"/>
  </r>
  <r>
    <d v="2026-07-13T00:00:00"/>
    <s v="Grupo Comercial Tech, C.A."/>
    <x v="0"/>
    <m/>
    <m/>
    <m/>
    <m/>
    <m/>
    <m/>
    <m/>
    <m/>
    <n v="820"/>
    <n v="3703.7"/>
    <n v="3037034"/>
    <s v="BANCOS"/>
    <s v="SI"/>
    <d v="2026-07-13T00:00:00"/>
    <s v="PAGO FACT (REPOSICION DE MERCANCIA)"/>
  </r>
  <r>
    <d v="2026-07-13T00:00:00"/>
    <s v="DISTRIBUIDORA EMITECH "/>
    <x v="0"/>
    <m/>
    <m/>
    <m/>
    <m/>
    <m/>
    <m/>
    <m/>
    <m/>
    <n v="830"/>
    <n v="7353.79"/>
    <n v="6103645.7000000002"/>
    <s v="BANCOS"/>
    <s v="SI"/>
    <d v="2026-07-13T00:00:00"/>
    <s v="PAGO FACT (REPOSICION DE MERCANCIA)"/>
  </r>
  <r>
    <d v="2026-07-13T00:00:00"/>
    <s v="Copikon Banesco, C.A."/>
    <x v="0"/>
    <m/>
    <m/>
    <m/>
    <m/>
    <m/>
    <m/>
    <m/>
    <m/>
    <n v="824.57"/>
    <n v="359.59999999999997"/>
    <n v="296515.37199999997"/>
    <s v="BANCOS"/>
    <s v="SI"/>
    <d v="2026-07-13T00:00:00"/>
    <s v="PAGO FACT (REPOSICION DE MERCANCIA)"/>
  </r>
  <r>
    <d v="2026-07-13T00:00:00"/>
    <s v="Venepac 2020, C.A. BANC BANESCO"/>
    <x v="0"/>
    <m/>
    <m/>
    <m/>
    <m/>
    <m/>
    <m/>
    <m/>
    <m/>
    <n v="771.9"/>
    <n v="6223.9219328928621"/>
    <n v="4804245.34"/>
    <s v="BANCOS"/>
    <s v="SI"/>
    <d v="2026-07-13T00:00:00"/>
    <s v="PAGO FACT (REPOSICION DE MERCANCIA)"/>
  </r>
  <r>
    <d v="2026-07-14T00:00:00"/>
    <s v="Global Sarpi, C.A."/>
    <x v="0"/>
    <m/>
    <m/>
    <m/>
    <m/>
    <m/>
    <m/>
    <m/>
    <m/>
    <n v="843"/>
    <n v="6113.69"/>
    <n v="5153840.67"/>
    <s v="BANCOS"/>
    <s v="SI"/>
    <d v="2026-07-14T00:00:00"/>
    <s v="PAGO FACT (REPOSICION DE MERCANCIA)"/>
  </r>
  <r>
    <d v="2026-07-14T00:00:00"/>
    <s v="Seintec, C.A."/>
    <x v="0"/>
    <m/>
    <m/>
    <m/>
    <m/>
    <m/>
    <m/>
    <m/>
    <m/>
    <n v="856"/>
    <n v="5841.1214953271028"/>
    <n v="5000000"/>
    <s v="BANCOS"/>
    <s v="SI"/>
    <d v="2026-07-14T00:00:00"/>
    <s v="PAGO FACT (REPOSICION DE MERCANCIA)"/>
  </r>
  <r>
    <d v="2026-07-14T00:00:00"/>
    <s v="Seintec, C.A."/>
    <x v="0"/>
    <m/>
    <m/>
    <m/>
    <m/>
    <m/>
    <m/>
    <m/>
    <m/>
    <n v="856"/>
    <n v="3059.5942523364488"/>
    <n v="2619012.6800000002"/>
    <s v="BANCOS"/>
    <s v="SI"/>
    <d v="2026-07-14T00:00:00"/>
    <s v="PAGO FACT (REPOSICION DE MERCANCIA)"/>
  </r>
  <r>
    <d v="2026-07-14T00:00:00"/>
    <s v="Seintec, C.A."/>
    <x v="0"/>
    <m/>
    <m/>
    <m/>
    <m/>
    <m/>
    <m/>
    <m/>
    <m/>
    <n v="856"/>
    <n v="3059.5942640186913"/>
    <n v="2619012.69"/>
    <s v="BANCOS"/>
    <s v="SI"/>
    <d v="2026-07-14T00:00:00"/>
    <s v="PAGO FACT (REPOSICION DE MERCANCIA)"/>
  </r>
  <r>
    <d v="2026-07-14T00:00:00"/>
    <s v="COPIKON"/>
    <x v="1"/>
    <m/>
    <m/>
    <m/>
    <m/>
    <m/>
    <m/>
    <m/>
    <m/>
    <n v="724"/>
    <n v="16.382058011049725"/>
    <n v="11860.61"/>
    <s v="BANCOS"/>
    <s v="SI"/>
    <d v="2026-07-14T00:00:00"/>
    <s v="PAGO 25% DE IVA - RET MUNICIPAL"/>
  </r>
  <r>
    <d v="2026-07-14T00:00:00"/>
    <s v="RESPALDO DE ENERGIA"/>
    <x v="1"/>
    <m/>
    <m/>
    <m/>
    <m/>
    <m/>
    <m/>
    <m/>
    <m/>
    <n v="724"/>
    <n v="175.36947513812154"/>
    <n v="126967.5"/>
    <s v="BANCOS"/>
    <s v="SI"/>
    <d v="2026-07-14T00:00:00"/>
    <s v="PAGO 25% DE IVA - RET MUNICIPAL"/>
  </r>
  <r>
    <d v="2026-07-16T00:00:00"/>
    <s v="GLOBAL SARPI "/>
    <x v="1"/>
    <m/>
    <m/>
    <m/>
    <m/>
    <m/>
    <m/>
    <m/>
    <m/>
    <n v="727.45"/>
    <n v="283.39216440992504"/>
    <n v="206153.62999999998"/>
    <s v="BANCOS"/>
    <s v="SI"/>
    <d v="2026-07-16T00:00:00"/>
    <s v="PAGO 25% DE IVA   "/>
  </r>
  <r>
    <d v="2026-07-16T00:00:00"/>
    <s v="SEINTEC"/>
    <x v="1"/>
    <m/>
    <m/>
    <m/>
    <m/>
    <m/>
    <m/>
    <m/>
    <m/>
    <n v="727.45"/>
    <n v="562.95416867138636"/>
    <n v="409521.01"/>
    <s v="BANCOS"/>
    <s v="SI"/>
    <d v="2026-07-16T00:00:00"/>
    <s v="PAGO 25% DE IVA   "/>
  </r>
  <r>
    <d v="2026-07-16T00:00:00"/>
    <s v="DISTRIBUIDORA EMITECH"/>
    <x v="1"/>
    <m/>
    <m/>
    <m/>
    <m/>
    <m/>
    <m/>
    <m/>
    <m/>
    <n v="727.45"/>
    <n v="335.61870918963501"/>
    <n v="244145.83000000002"/>
    <s v="BANCOS"/>
    <s v="SI"/>
    <d v="2026-07-16T00:00:00"/>
    <s v="PAGO 25% DE IVA   "/>
  </r>
  <r>
    <d v="2026-07-17T00:00:00"/>
    <s v="DISTRIBUIDORA EMITECH "/>
    <x v="0"/>
    <m/>
    <m/>
    <m/>
    <m/>
    <m/>
    <m/>
    <m/>
    <m/>
    <n v="840"/>
    <n v="4591.8"/>
    <n v="3857112"/>
    <s v="BANCOS"/>
    <s v="SI"/>
    <d v="2026-07-17T00:00:00"/>
    <s v="PAGO FACT (REPOSICION DE MERCANCIA)"/>
  </r>
  <r>
    <d v="2026-07-17T00:00:00"/>
    <s v="Inversiones Alvez C.A."/>
    <x v="0"/>
    <m/>
    <m/>
    <m/>
    <m/>
    <m/>
    <m/>
    <m/>
    <m/>
    <n v="845"/>
    <n v="7608.51"/>
    <n v="6429190.9500000002"/>
    <s v="BANCOS"/>
    <s v="SI"/>
    <d v="2026-07-17T00:00:00"/>
    <s v="PAGO FACT (REPOSICION DE MERCANCIA)"/>
  </r>
  <r>
    <d v="2026-07-27T00:00:00"/>
    <s v="Seintec, C.A."/>
    <x v="0"/>
    <m/>
    <m/>
    <m/>
    <m/>
    <m/>
    <m/>
    <m/>
    <m/>
    <n v="880"/>
    <n v="5681.818181818182"/>
    <n v="5000000"/>
    <s v="BANCOS"/>
    <s v="SI"/>
    <d v="2026-07-27T00:00:00"/>
    <s v="PAGO FACT (REPOSICION DE MERCANCIA)"/>
  </r>
  <r>
    <d v="2026-07-27T00:00:00"/>
    <s v="Seintec, C.A."/>
    <x v="0"/>
    <m/>
    <m/>
    <m/>
    <m/>
    <m/>
    <m/>
    <m/>
    <m/>
    <n v="880"/>
    <n v="5681.818181818182"/>
    <n v="5000000"/>
    <s v="BANCOS"/>
    <s v="SI"/>
    <d v="2026-07-27T00:00:00"/>
    <s v="PAGO FACT (REPOSICION DE MERCANCIA)"/>
  </r>
  <r>
    <d v="2026-07-27T00:00:00"/>
    <s v="Seintec, C.A."/>
    <x v="0"/>
    <m/>
    <m/>
    <m/>
    <m/>
    <m/>
    <m/>
    <m/>
    <m/>
    <n v="880"/>
    <n v="5681.818181818182"/>
    <n v="5000000"/>
    <s v="BANCOS"/>
    <s v="SI"/>
    <d v="2026-07-27T00:00:00"/>
    <s v="PAGO FACT (REPOSICION DE MERCANCIA)"/>
  </r>
  <r>
    <d v="2026-07-27T00:00:00"/>
    <s v="Seintec, C.A."/>
    <x v="0"/>
    <m/>
    <m/>
    <m/>
    <m/>
    <m/>
    <m/>
    <m/>
    <m/>
    <n v="880"/>
    <n v="2240.6654545454548"/>
    <n v="1971785.6000000003"/>
    <s v="BANCOS"/>
    <s v="SI"/>
    <d v="2026-07-27T00:00:00"/>
    <s v="PAGO FACT (REPOSICION DE MERCANCIA)"/>
  </r>
  <r>
    <d v="2026-07-27T00:00:00"/>
    <s v="Seintec, C.A."/>
    <x v="0"/>
    <m/>
    <m/>
    <m/>
    <m/>
    <m/>
    <m/>
    <m/>
    <m/>
    <n v="880"/>
    <n v="54601.84"/>
    <n v="48049619.199999996"/>
    <s v="BANCOS"/>
    <s v="SI"/>
    <d v="2026-07-27T00:00:00"/>
    <s v="PAGO FACT (REPOSICION DE MERCANCIA)"/>
  </r>
  <r>
    <d v="2026-07-28T00:00:00"/>
    <s v="Seintec, C.A."/>
    <x v="0"/>
    <m/>
    <m/>
    <m/>
    <m/>
    <m/>
    <m/>
    <m/>
    <m/>
    <n v="880.00000000000011"/>
    <n v="709.53"/>
    <n v="624386.4"/>
    <s v="BANCOS"/>
    <s v="SI"/>
    <d v="2026-07-28T00:00:00"/>
    <s v="PAGO FACT (REPOSICION DE MERCANCIA)"/>
  </r>
  <r>
    <d v="2026-07-29T00:00:00"/>
    <s v="SEINTEC"/>
    <x v="1"/>
    <m/>
    <m/>
    <m/>
    <m/>
    <m/>
    <m/>
    <m/>
    <m/>
    <n v="744.22"/>
    <n v="3528.3003009862673"/>
    <n v="2625831.65"/>
    <s v="BANCOS"/>
    <s v="SI"/>
    <d v="2026-07-29T00:00:00"/>
    <s v="25% DE IVA "/>
  </r>
  <r>
    <d v="2026-07-31T00:00:00"/>
    <s v="VENEPAC"/>
    <x v="1"/>
    <m/>
    <m/>
    <m/>
    <m/>
    <m/>
    <m/>
    <m/>
    <m/>
    <n v="746.63"/>
    <n v="939.22917643277128"/>
    <n v="701256.68"/>
    <s v="BANCOS"/>
    <s v="SI"/>
    <d v="2026-07-31T00:00:00"/>
    <s v="25 % DE IVA FACTS  29725-29724-29723-29722-29721-29720"/>
  </r>
  <r>
    <m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m/>
    <n v="0"/>
    <m/>
    <m/>
    <m/>
    <m/>
  </r>
  <r>
    <d v="2026-03-13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1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1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1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1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1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1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0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1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5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5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5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5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6T00:00:00"/>
    <m/>
    <x v="2"/>
    <m/>
    <m/>
    <m/>
    <m/>
    <m/>
    <m/>
    <m/>
    <m/>
    <m/>
    <m/>
    <n v="0"/>
    <s v="BANCOS"/>
    <s v="SI"/>
    <d v="2026-05-15T00:00:00"/>
    <s v="PAGO FACT (REPOSICION DE MERCANCIA)"/>
  </r>
  <r>
    <d v="2026-03-26T00:00:00"/>
    <m/>
    <x v="2"/>
    <m/>
    <m/>
    <m/>
    <m/>
    <m/>
    <m/>
    <m/>
    <m/>
    <m/>
    <m/>
    <n v="0"/>
    <m/>
    <m/>
    <m/>
    <m/>
  </r>
  <r>
    <d v="2026-03-26T00:00:00"/>
    <m/>
    <x v="2"/>
    <m/>
    <m/>
    <m/>
    <m/>
    <m/>
    <m/>
    <m/>
    <m/>
    <m/>
    <m/>
    <n v="0"/>
    <m/>
    <m/>
    <m/>
    <m/>
  </r>
  <r>
    <d v="2026-03-26T00:00:00"/>
    <m/>
    <x v="2"/>
    <m/>
    <m/>
    <m/>
    <m/>
    <m/>
    <m/>
    <m/>
    <m/>
    <m/>
    <m/>
    <n v="0"/>
    <m/>
    <m/>
    <m/>
    <m/>
  </r>
  <r>
    <d v="2026-03-27T00:00:00"/>
    <m/>
    <x v="2"/>
    <m/>
    <m/>
    <m/>
    <m/>
    <m/>
    <m/>
    <m/>
    <m/>
    <m/>
    <m/>
    <n v="0"/>
    <m/>
    <m/>
    <m/>
    <m/>
  </r>
  <r>
    <d v="2026-03-30T00:00:00"/>
    <m/>
    <x v="2"/>
    <m/>
    <m/>
    <m/>
    <m/>
    <m/>
    <m/>
    <m/>
    <m/>
    <m/>
    <m/>
    <n v="0"/>
    <m/>
    <m/>
    <m/>
    <m/>
  </r>
  <r>
    <d v="2026-03-31T00:00:00"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m/>
    <n v="0"/>
    <m/>
    <m/>
    <m/>
    <m/>
  </r>
  <r>
    <m/>
    <m/>
    <x v="2"/>
    <m/>
    <m/>
    <m/>
    <m/>
    <m/>
    <m/>
    <m/>
    <m/>
    <m/>
    <n v="0"/>
    <n v="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s v="FAOV"/>
    <s v="BANAVIH MES MAYO"/>
    <x v="0"/>
    <m/>
    <m/>
    <m/>
    <m/>
    <m/>
    <e v="#REF!"/>
    <n v="0.75"/>
    <e v="#REF!"/>
    <n v="0"/>
    <n v="633.36"/>
    <n v="14.494126563092079"/>
    <n v="9180"/>
    <s v="BANCOS"/>
    <m/>
    <d v="2026-07-01T00:00:00"/>
  </r>
  <r>
    <x v="0"/>
    <s v="IVSS"/>
    <s v="SEGURO SOCIAL MES MAYO"/>
    <x v="1"/>
    <m/>
    <m/>
    <m/>
    <m/>
    <m/>
    <n v="0"/>
    <n v="0.75"/>
    <n v="0"/>
    <n v="0"/>
    <n v="633.36"/>
    <n v="7.1511462675255775"/>
    <n v="4529.25"/>
    <s v="BANCOS"/>
    <m/>
    <d v="2026-07-01T00:00:00"/>
  </r>
  <r>
    <x v="0"/>
    <s v="ALCALDIA DE CARACAS"/>
    <s v="RETENCIONES MUNICIPALES MES DE JUNIO"/>
    <x v="2"/>
    <m/>
    <m/>
    <m/>
    <m/>
    <m/>
    <n v="0"/>
    <m/>
    <e v="#REF!"/>
    <m/>
    <n v="633.36"/>
    <n v="147.48013767841354"/>
    <n v="93408.02"/>
    <s v="BANCOS"/>
    <m/>
    <d v="2026-07-01T00:00:00"/>
  </r>
  <r>
    <x v="0"/>
    <s v="INVERSIONES TORMES"/>
    <s v="INSUMOS DE LIMPIEZA"/>
    <x v="3"/>
    <m/>
    <m/>
    <m/>
    <m/>
    <m/>
    <e v="#REF!"/>
    <m/>
    <e v="#REF!"/>
    <m/>
    <n v="633.36"/>
    <n v="368.49272135910064"/>
    <n v="233388.55"/>
    <s v="BANCOS"/>
    <m/>
    <d v="2026-07-01T00:00:00"/>
  </r>
  <r>
    <x v="0"/>
    <s v="ADMINISTRADORA NAPOLITANO "/>
    <s v="ALQUILER LOCAL 5 MES DE JULIO "/>
    <x v="4"/>
    <m/>
    <m/>
    <m/>
    <m/>
    <m/>
    <n v="0"/>
    <n v="0.75"/>
    <n v="0"/>
    <n v="0"/>
    <n v="639.70000000000005"/>
    <n v="391.49999999999994"/>
    <n v="250442.55"/>
    <s v="BANCOS"/>
    <m/>
    <d v="2026-07-02T00:00:00"/>
  </r>
  <r>
    <x v="0"/>
    <s v="SGSI"/>
    <s v="HONORARIOS PROFESIONALES MES JULIO "/>
    <x v="5"/>
    <m/>
    <m/>
    <m/>
    <m/>
    <m/>
    <n v="0"/>
    <n v="0.75"/>
    <n v="0"/>
    <n v="0"/>
    <n v="639.70000000000005"/>
    <n v="515.57899015163355"/>
    <n v="329815.88"/>
    <s v="BANCOS"/>
    <m/>
    <d v="2026-07-02T00:00:00"/>
  </r>
  <r>
    <x v="0"/>
    <s v="DEEPCOMPANY"/>
    <s v="PLATAFORMA DIGITAL MES DE JULIO "/>
    <x v="6"/>
    <m/>
    <m/>
    <m/>
    <m/>
    <m/>
    <n v="0"/>
    <n v="0.75"/>
    <n v="0"/>
    <n v="0"/>
    <n v="639.70000000000005"/>
    <n v="292.81749257464435"/>
    <n v="187315.35"/>
    <s v="BANCOS"/>
    <m/>
    <d v="2026-07-02T00:00:00"/>
  </r>
  <r>
    <x v="0"/>
    <s v="VEHICLE SECURITY "/>
    <s v="SERVICIO DE SEGURIDAD MES DE JULIO"/>
    <x v="7"/>
    <m/>
    <m/>
    <m/>
    <m/>
    <m/>
    <m/>
    <m/>
    <m/>
    <m/>
    <n v="639.70000000000005"/>
    <n v="44.563451617945908"/>
    <n v="28507.24"/>
    <s v="BANCOS"/>
    <m/>
    <d v="2026-07-02T00:00:00"/>
  </r>
  <r>
    <x v="0"/>
    <s v="SERVICIOS EMPRESARIALES NGL"/>
    <s v="CONTABILIDAD MENSUAL MES DE MAYO "/>
    <x v="5"/>
    <m/>
    <m/>
    <m/>
    <m/>
    <m/>
    <n v="0"/>
    <m/>
    <n v="0"/>
    <m/>
    <n v="639.70000000000005"/>
    <n v="643.5"/>
    <n v="411646.95"/>
    <s v="BANCOS"/>
    <m/>
    <d v="2026-07-02T00:00:00"/>
  </r>
  <r>
    <x v="0"/>
    <s v="CORPORACION DIGITEL "/>
    <s v="SERVICIO TELEFONICO MAYO (VARIAS LINEAS)"/>
    <x v="8"/>
    <m/>
    <m/>
    <m/>
    <m/>
    <m/>
    <m/>
    <m/>
    <m/>
    <m/>
    <n v="639.70000000000005"/>
    <n v="125.60973894012818"/>
    <n v="80352.55"/>
    <s v="BANCOS"/>
    <m/>
    <d v="2026-07-02T00:00:00"/>
  </r>
  <r>
    <x v="0"/>
    <s v="MARIA GABRIELA MOLINA (MANGO BAJITO)"/>
    <s v="COMPRA DE MANTAS (DONACIONES)"/>
    <x v="9"/>
    <m/>
    <m/>
    <m/>
    <m/>
    <m/>
    <n v="0"/>
    <n v="0.75"/>
    <e v="#REF!"/>
    <n v="0"/>
    <n v="639.70000000000005"/>
    <n v="719.85851180240729"/>
    <n v="460493.49"/>
    <s v="BANCOS"/>
    <m/>
    <d v="2026-07-02T00:00:00"/>
  </r>
  <r>
    <x v="0"/>
    <s v="-"/>
    <s v="LAVADO DE PANEL Y ARREGLO PANEL "/>
    <x v="10"/>
    <m/>
    <m/>
    <m/>
    <m/>
    <m/>
    <n v="0"/>
    <n v="0.75"/>
    <n v="0"/>
    <n v="0"/>
    <n v="639.70000000000005"/>
    <n v="59.999999999999993"/>
    <n v="38382"/>
    <s v="BANCOS"/>
    <m/>
    <d v="2026-07-02T00:00:00"/>
  </r>
  <r>
    <x v="0"/>
    <s v="INCES"/>
    <s v="2DO TRIMESTRE 2026 ABRIL - JUNIO"/>
    <x v="11"/>
    <m/>
    <m/>
    <m/>
    <m/>
    <m/>
    <n v="0"/>
    <n v="0.75"/>
    <e v="#REF!"/>
    <n v="0"/>
    <n v="652.97"/>
    <n v="27.2144508936092"/>
    <n v="17770.22"/>
    <s v="BANCOS"/>
    <m/>
    <d v="2026-07-03T00:00:00"/>
  </r>
  <r>
    <x v="0"/>
    <s v="TIENDA"/>
    <s v="GASTOS DE SEGURIDAD"/>
    <x v="12"/>
    <m/>
    <m/>
    <m/>
    <m/>
    <m/>
    <n v="0"/>
    <m/>
    <n v="0"/>
    <m/>
    <n v="652.97"/>
    <n v="50"/>
    <n v="32648.5"/>
    <s v="CAJA ADMON"/>
    <m/>
    <d v="2026-07-02T00:00:00"/>
  </r>
  <r>
    <x v="1"/>
    <s v="TRABAJADORES"/>
    <s v="BONO DE ALIMENTACION MES DE JUNIO"/>
    <x v="13"/>
    <m/>
    <m/>
    <m/>
    <m/>
    <m/>
    <n v="0"/>
    <n v="0.75"/>
    <n v="0"/>
    <n v="0"/>
    <n v="652.97"/>
    <n v="1518.7244130664501"/>
    <n v="991681.48"/>
    <s v="BANCOS"/>
    <m/>
    <d v="2026-07-03T00:00:00"/>
  </r>
  <r>
    <x v="1"/>
    <s v="CORPO INDUSTRI"/>
    <s v="COMPRA (40) BULTOS DE AGUA (DONACIONES)"/>
    <x v="9"/>
    <m/>
    <m/>
    <m/>
    <m/>
    <m/>
    <n v="0"/>
    <n v="0.75"/>
    <n v="0"/>
    <n v="0"/>
    <n v="652.97"/>
    <n v="359.60018071274328"/>
    <n v="234808.13"/>
    <s v="BANCOS"/>
    <m/>
    <d v="2026-07-03T00:00:00"/>
  </r>
  <r>
    <x v="1"/>
    <s v="BANCO DE VENEZUELA "/>
    <s v="COMISION LINEA DE CREDITO 2 "/>
    <x v="14"/>
    <m/>
    <m/>
    <m/>
    <m/>
    <m/>
    <n v="0"/>
    <n v="0.75"/>
    <n v="0"/>
    <n v="0"/>
    <n v="652.97"/>
    <n v="516.27491308942217"/>
    <n v="337112.03"/>
    <s v="BANCOS"/>
    <m/>
    <d v="2026-07-03T00:00:00"/>
  </r>
  <r>
    <x v="2"/>
    <s v="BANCO DE VENEZUELA "/>
    <s v="CREDITO BANCARIO Nº 2 CUOTA Nº 10"/>
    <x v="14"/>
    <m/>
    <m/>
    <m/>
    <m/>
    <m/>
    <n v="0"/>
    <n v="0.75"/>
    <n v="0"/>
    <n v="0"/>
    <n v="652.97"/>
    <n v="11042.546855138828"/>
    <n v="7210451.8200000003"/>
    <s v="BANCOS"/>
    <m/>
    <d v="2026-07-05T00:00:00"/>
  </r>
  <r>
    <x v="3"/>
    <s v="GLOBAL IT SYSTEM (SR. RENE)"/>
    <s v="COMBUSTIBLE SEMANA DEL 06/07/2026 AL 10/07/2026"/>
    <x v="15"/>
    <m/>
    <m/>
    <m/>
    <m/>
    <m/>
    <n v="0"/>
    <n v="0.75"/>
    <n v="0"/>
    <n v="0"/>
    <n v="667.05"/>
    <n v="20"/>
    <n v="13341"/>
    <s v="BANCOS"/>
    <m/>
    <d v="2026-07-06T00:00:00"/>
  </r>
  <r>
    <x v="4"/>
    <s v="SENIAT "/>
    <s v="RETENCIONES DE ISLR MES JUNIO"/>
    <x v="16"/>
    <m/>
    <m/>
    <m/>
    <m/>
    <m/>
    <n v="0"/>
    <n v="0.75"/>
    <n v="0"/>
    <n v="0"/>
    <n v="674.93"/>
    <n v="142.33668676751665"/>
    <n v="96067.3"/>
    <s v="BANCOS"/>
    <m/>
    <d v="2026-07-07T00:00:00"/>
  </r>
  <r>
    <x v="4"/>
    <s v="SENIAT "/>
    <s v="IGTF 2DA QNA JUNIO "/>
    <x v="17"/>
    <m/>
    <m/>
    <m/>
    <m/>
    <m/>
    <n v="0"/>
    <m/>
    <n v="0"/>
    <m/>
    <n v="674.93"/>
    <n v="0.52400989732268533"/>
    <n v="353.67"/>
    <s v="BANCOS"/>
    <m/>
    <d v="2026-07-07T00:00:00"/>
  </r>
  <r>
    <x v="5"/>
    <s v="ALCALDIA DE CARACAS"/>
    <s v="PATENTE TIENDA MES JUNIO"/>
    <x v="18"/>
    <m/>
    <m/>
    <m/>
    <m/>
    <m/>
    <n v="0"/>
    <n v="0.75"/>
    <n v="0"/>
    <n v="0"/>
    <n v="674.93"/>
    <n v="6418.4905990250854"/>
    <n v="4332031.8600000003"/>
    <s v="BANCOS"/>
    <m/>
    <d v="2026-07-07T00:00:00"/>
  </r>
  <r>
    <x v="6"/>
    <s v="TELECOMUNICACIONES SILVERDATA"/>
    <s v="INTERNET TIENDA MES DE JULIO"/>
    <x v="19"/>
    <m/>
    <m/>
    <m/>
    <m/>
    <m/>
    <n v="0"/>
    <m/>
    <n v="0"/>
    <m/>
    <n v="674.93"/>
    <n v="86.896863378424442"/>
    <n v="58649.3"/>
    <s v="BANCOS"/>
    <m/>
    <d v="2026-07-07T00:00:00"/>
  </r>
  <r>
    <x v="6"/>
    <s v="MDS TELECOM"/>
    <s v="INTERNET TIENDA Y SALA DE CAPACITACION MES DE JULIO"/>
    <x v="19"/>
    <m/>
    <m/>
    <m/>
    <m/>
    <m/>
    <e v="#REF!"/>
    <n v="0.75"/>
    <e v="#REF!"/>
    <n v="0"/>
    <n v="674.93"/>
    <n v="180.25863422873485"/>
    <n v="121661.96"/>
    <s v="BANCOS"/>
    <m/>
    <d v="2026-07-07T00:00:00"/>
  </r>
  <r>
    <x v="6"/>
    <s v="INVERSIONES MAXILOPEZ"/>
    <s v="COMPRA CAFÉ / AZUCAR / AGUA "/>
    <x v="20"/>
    <m/>
    <m/>
    <m/>
    <m/>
    <m/>
    <e v="#REF!"/>
    <n v="0.75"/>
    <n v="0"/>
    <n v="0"/>
    <n v="674.93"/>
    <n v="330.89988591409485"/>
    <n v="223334.26"/>
    <s v="BANCOS"/>
    <m/>
    <d v="2026-07-07T00:00:00"/>
  </r>
  <r>
    <x v="6"/>
    <s v="WINTERPLAS"/>
    <s v="SERVILLETAS"/>
    <x v="21"/>
    <m/>
    <m/>
    <m/>
    <m/>
    <m/>
    <n v="0"/>
    <n v="0.75"/>
    <n v="0"/>
    <n v="0"/>
    <n v="674.93"/>
    <n v="19.752048360570726"/>
    <n v="13331.25"/>
    <s v="BANCOS"/>
    <m/>
    <d v="2026-07-07T00:00:00"/>
  </r>
  <r>
    <x v="6"/>
    <s v="CANTV"/>
    <s v="SERVICIO TELEFONICO 0212-6683946 "/>
    <x v="22"/>
    <m/>
    <m/>
    <m/>
    <m/>
    <m/>
    <n v="0"/>
    <n v="0.75"/>
    <n v="0"/>
    <n v="0"/>
    <n v="685.94"/>
    <n v="22.450024783508763"/>
    <n v="15399.37"/>
    <s v="BANCOS"/>
    <m/>
    <d v="2026-07-08T00:00:00"/>
  </r>
  <r>
    <x v="6"/>
    <s v="HIDROCAPITAL"/>
    <s v="SERVICIO DE AGUA TIENDA MES DE JUNIO "/>
    <x v="23"/>
    <m/>
    <m/>
    <m/>
    <m/>
    <m/>
    <e v="#REF!"/>
    <n v="0.75"/>
    <e v="#REF!"/>
    <n v="0"/>
    <n v="685.94"/>
    <n v="104.61624923462693"/>
    <n v="71760.47"/>
    <s v="BANCOS"/>
    <m/>
    <d v="2026-07-08T00:00:00"/>
  </r>
  <r>
    <x v="6"/>
    <s v="ALCALDIA DE CARACAS"/>
    <s v="ASEO URBANO MES JULIO"/>
    <x v="24"/>
    <m/>
    <m/>
    <m/>
    <m/>
    <m/>
    <n v="0"/>
    <n v="0.75"/>
    <n v="0"/>
    <n v="0"/>
    <n v="685.94"/>
    <n v="28.313278129282441"/>
    <n v="19421.21"/>
    <s v="BANCOS"/>
    <m/>
    <d v="2026-07-08T00:00:00"/>
  </r>
  <r>
    <x v="6"/>
    <s v="ADMINISTRADORA NAPOLITANO "/>
    <s v="ALQUILER LOCAL 1 2 Y 3 MES JULIO "/>
    <x v="4"/>
    <m/>
    <m/>
    <m/>
    <m/>
    <m/>
    <n v="0"/>
    <n v="0.75"/>
    <n v="0"/>
    <n v="0"/>
    <n v="685.94"/>
    <n v="1798.1249963553664"/>
    <n v="1233405.8600000001"/>
    <s v="BANCOS"/>
    <m/>
    <d v="2026-07-08T00:00:00"/>
  </r>
  <r>
    <x v="6"/>
    <s v="CORPORACION PARK "/>
    <s v="ALQUILER DE ESTACIONAMIENTO TORRE AMERICA JULIO"/>
    <x v="4"/>
    <m/>
    <m/>
    <m/>
    <m/>
    <m/>
    <n v="0"/>
    <n v="0.75"/>
    <n v="0"/>
    <n v="0"/>
    <n v="685.94"/>
    <n v="83.087485785928791"/>
    <n v="56993.03"/>
    <s v="BANCOS"/>
    <m/>
    <d v="2026-07-08T00:00:00"/>
  </r>
  <r>
    <x v="6"/>
    <s v="CASHEA"/>
    <s v="PLATAFORMA DIGITALES MES JUNIO"/>
    <x v="6"/>
    <m/>
    <m/>
    <m/>
    <m/>
    <m/>
    <n v="0"/>
    <n v="0.75"/>
    <n v="0"/>
    <n v="0"/>
    <n v="700.22"/>
    <n v="333.68999742937933"/>
    <n v="233656.41"/>
    <s v="BANCOS"/>
    <m/>
    <d v="2026-07-09T00:00:00"/>
  </r>
  <r>
    <x v="6"/>
    <s v="-"/>
    <s v="AISLANTE TERMICO PARA TRANSPOTE (PANEL)"/>
    <x v="25"/>
    <m/>
    <m/>
    <m/>
    <m/>
    <m/>
    <n v="0"/>
    <m/>
    <n v="0"/>
    <m/>
    <n v="700.22"/>
    <n v="43.154994144697383"/>
    <n v="30217.99"/>
    <s v="BANCOS"/>
    <m/>
    <d v="2026-07-09T00:00:00"/>
  </r>
  <r>
    <x v="6"/>
    <s v="SAN DIEGO "/>
    <s v="CONDOMINIO SAN DIEGO (TIENDA) MES JUNIO"/>
    <x v="4"/>
    <m/>
    <m/>
    <m/>
    <m/>
    <m/>
    <n v="0"/>
    <m/>
    <n v="0"/>
    <m/>
    <n v="700.22"/>
    <n v="16.521450401302445"/>
    <n v="11568.65"/>
    <s v="BANCOS"/>
    <m/>
    <d v="2026-07-09T00:00:00"/>
  </r>
  <r>
    <x v="6"/>
    <s v="TIENDA"/>
    <s v="GASTOS DE SEGURIDAD"/>
    <x v="12"/>
    <m/>
    <m/>
    <m/>
    <m/>
    <m/>
    <n v="0"/>
    <m/>
    <n v="0"/>
    <m/>
    <n v="700.22"/>
    <n v="50"/>
    <n v="35011"/>
    <s v="CAJA ADMON"/>
    <m/>
    <d v="2026-07-09T00:00:00"/>
  </r>
  <r>
    <x v="6"/>
    <s v="TIENDA"/>
    <s v="PAGO ALQUILER ESTACIONAMIENTO DE TIENDA"/>
    <x v="12"/>
    <m/>
    <m/>
    <m/>
    <m/>
    <m/>
    <n v="0"/>
    <m/>
    <n v="0"/>
    <m/>
    <n v="700.22"/>
    <n v="90"/>
    <n v="63019.8"/>
    <s v="CAJA ADMON"/>
    <m/>
    <d v="2026-07-09T00:00:00"/>
  </r>
  <r>
    <x v="7"/>
    <s v="SENIAT "/>
    <s v="DECLARACION DE IVA 2DA QNA JUNIO"/>
    <x v="26"/>
    <m/>
    <m/>
    <m/>
    <m/>
    <m/>
    <n v="0"/>
    <m/>
    <e v="#REF!"/>
    <m/>
    <n v="724"/>
    <n v="2287.6603176795579"/>
    <n v="1656266.07"/>
    <s v="BANCOS"/>
    <m/>
    <d v="2026-07-14T00:00:00"/>
  </r>
  <r>
    <x v="7"/>
    <s v="SENIAT "/>
    <s v="RETENCION IVA (PROVEEDORES) 2DA QNA JUNIO"/>
    <x v="27"/>
    <m/>
    <m/>
    <m/>
    <m/>
    <m/>
    <n v="0"/>
    <n v="0.75"/>
    <n v="0"/>
    <n v="0"/>
    <n v="724"/>
    <n v="2465.3758425414367"/>
    <n v="1784932.11"/>
    <s v="BANCOS"/>
    <m/>
    <d v="2026-07-14T00:00:00"/>
  </r>
  <r>
    <x v="7"/>
    <s v="SENIAT "/>
    <s v="ANTICIPO ISLR 2DA QNA JUNIO "/>
    <x v="28"/>
    <m/>
    <m/>
    <m/>
    <m/>
    <m/>
    <n v="0"/>
    <n v="0.75"/>
    <n v="0"/>
    <n v="0"/>
    <n v="724"/>
    <n v="878.40837016574585"/>
    <n v="635967.66"/>
    <s v="BANCOS"/>
    <m/>
    <d v="2026-07-14T00:00:00"/>
  </r>
  <r>
    <x v="7"/>
    <s v="GLOBAL IT SYSTEM (SR. RENE)"/>
    <s v="COMBUSTIBLE SEMANA DEL 13/07/2026 AL 16/07/2026"/>
    <x v="15"/>
    <m/>
    <m/>
    <m/>
    <m/>
    <m/>
    <e v="#REF!"/>
    <n v="0.75"/>
    <e v="#REF!"/>
    <n v="0"/>
    <n v="724"/>
    <n v="20"/>
    <n v="14480"/>
    <s v="BANCOS"/>
    <m/>
    <d v="2026-07-14T00:00:00"/>
  </r>
  <r>
    <x v="7"/>
    <s v="MST TECHNOLOGIES"/>
    <s v="PLATAFORMA DIGITAL MES JUNIO"/>
    <x v="6"/>
    <m/>
    <m/>
    <m/>
    <m/>
    <m/>
    <e v="#REF!"/>
    <n v="0.75"/>
    <e v="#REF!"/>
    <d v="1899-12-30T00:00:00"/>
    <n v="724"/>
    <n v="100.28935082872928"/>
    <n v="72609.490000000005"/>
    <s v="BANCOS"/>
    <m/>
    <d v="2026-07-14T00:00:00"/>
  </r>
  <r>
    <x v="8"/>
    <s v="SIDCAI "/>
    <s v="ANTICIPO LOCTI MES JUNIO 2026"/>
    <x v="29"/>
    <m/>
    <m/>
    <m/>
    <m/>
    <m/>
    <n v="0"/>
    <n v="0.75"/>
    <n v="0"/>
    <n v="0"/>
    <n v="724"/>
    <n v="274.45861878453042"/>
    <n v="198708.04"/>
    <s v="BANCOS"/>
    <m/>
    <d v="2026-07-14T00:00:00"/>
  </r>
  <r>
    <x v="8"/>
    <s v="TRABAJADORES"/>
    <s v="NOMINA 1ERA QNA JULIO"/>
    <x v="30"/>
    <m/>
    <m/>
    <m/>
    <m/>
    <m/>
    <m/>
    <m/>
    <m/>
    <m/>
    <n v="725.75"/>
    <n v="210.81639683086462"/>
    <n v="153000"/>
    <s v="BANCOS"/>
    <m/>
    <d v="2026-07-15T00:00:00"/>
  </r>
  <r>
    <x v="8"/>
    <s v="TRABAJADORES"/>
    <s v="COMPLEMENTO DE ALIMENTACION 1ERA QNA JULIO"/>
    <x v="31"/>
    <m/>
    <m/>
    <m/>
    <m/>
    <m/>
    <e v="#REF!"/>
    <n v="0.75"/>
    <e v="#REF!"/>
    <d v="1899-12-30T00:00:00"/>
    <n v="725.75"/>
    <n v="4563.0579400620045"/>
    <n v="3311639.3"/>
    <s v="BANCOS"/>
    <m/>
    <d v="2026-07-15T00:00:00"/>
  </r>
  <r>
    <x v="8"/>
    <s v="SEGURO CARACAS"/>
    <s v="SEGURO CARACAS (MOTO)"/>
    <x v="32"/>
    <m/>
    <m/>
    <m/>
    <m/>
    <m/>
    <n v="0"/>
    <m/>
    <n v="0"/>
    <m/>
    <n v="732.48"/>
    <n v="43.830002184359977"/>
    <n v="32104.6"/>
    <s v="BANCOS"/>
    <m/>
    <d v="2026-07-17T00:00:00"/>
  </r>
  <r>
    <x v="9"/>
    <s v="-"/>
    <s v="INSTALACION DE AISLANTE TERMICO PARA PANEL "/>
    <x v="10"/>
    <m/>
    <m/>
    <m/>
    <m/>
    <m/>
    <n v="0"/>
    <n v="0.75"/>
    <e v="#REF!"/>
    <n v="0"/>
    <n v="737.88"/>
    <n v="80"/>
    <n v="59030.400000000001"/>
    <s v="BANCOS"/>
    <m/>
    <d v="2026-07-13T00:00:00"/>
  </r>
  <r>
    <x v="9"/>
    <s v="CANTV"/>
    <s v="SERVICIO TELEFONICO (0212-761.64.24)"/>
    <x v="22"/>
    <m/>
    <m/>
    <m/>
    <m/>
    <m/>
    <n v="0"/>
    <n v="0.75"/>
    <e v="#REF!"/>
    <n v="0"/>
    <n v="724"/>
    <n v="9.5287016574585639"/>
    <n v="6898.78"/>
    <s v="BANCOS"/>
    <m/>
    <d v="2026-07-14T00:00:00"/>
  </r>
  <r>
    <x v="9"/>
    <s v="CORPOELEC"/>
    <s v="ELECTRICIDAD/RELLENO SANITARIO / ASEO LOCAL 5"/>
    <x v="33"/>
    <m/>
    <m/>
    <m/>
    <m/>
    <m/>
    <n v="0"/>
    <n v="0.75"/>
    <n v="0"/>
    <n v="0"/>
    <n v="724"/>
    <n v="62.725690607734812"/>
    <n v="45413.4"/>
    <s v="BANCOS"/>
    <m/>
    <d v="2026-07-14T00:00:00"/>
  </r>
  <r>
    <x v="9"/>
    <s v="IP NET "/>
    <s v="INTERNET OFICINA MES DE JULIO "/>
    <x v="19"/>
    <m/>
    <m/>
    <m/>
    <m/>
    <m/>
    <e v="#REF!"/>
    <n v="0.75"/>
    <e v="#REF!"/>
    <d v="1899-12-30T00:00:00"/>
    <n v="724"/>
    <n v="121.37982044198895"/>
    <n v="87878.99"/>
    <s v="BANCOS"/>
    <m/>
    <d v="2026-07-14T00:00:00"/>
  </r>
  <r>
    <x v="9"/>
    <s v="-"/>
    <s v="GESTION LICENCIA CONDUCTOR PARA PANEL "/>
    <x v="34"/>
    <m/>
    <m/>
    <m/>
    <m/>
    <m/>
    <n v="0"/>
    <n v="0.75"/>
    <n v="0"/>
    <d v="1899-12-30T00:00:00"/>
    <n v="724"/>
    <n v="69.613259668508292"/>
    <n v="50400"/>
    <s v="BANCOS"/>
    <m/>
    <d v="2026-07-14T00:00:00"/>
  </r>
  <r>
    <x v="9"/>
    <s v="MERCADO LIBRE"/>
    <s v="PLATAFORMA DIGITAL MES JUNIO"/>
    <x v="6"/>
    <m/>
    <m/>
    <m/>
    <m/>
    <m/>
    <e v="#REF!"/>
    <n v="0.75"/>
    <e v="#REF!"/>
    <d v="1899-12-30T00:00:00"/>
    <n v="725.75"/>
    <n v="4443.7811091973826"/>
    <n v="3225074.14"/>
    <s v="BANCOS"/>
    <m/>
    <d v="2026-07-15T00:00:00"/>
  </r>
  <r>
    <x v="9"/>
    <s v="-"/>
    <s v="COMPRA E INSTALACION DE SILENCIADOR PARA PANEL / FILTRO "/>
    <x v="10"/>
    <m/>
    <m/>
    <m/>
    <m/>
    <m/>
    <n v="0"/>
    <m/>
    <e v="#REF!"/>
    <m/>
    <n v="725.75"/>
    <n v="175"/>
    <n v="127006.25"/>
    <s v="BANCOS"/>
    <m/>
    <d v="2026-07-15T00:00:00"/>
  </r>
  <r>
    <x v="9"/>
    <s v="-"/>
    <s v="PLANILLA PERMISO DE TRASLADO PANEL + GESTION PERMISO DE TRASLADO DE PANEL 50% (TASA EURO)"/>
    <x v="35"/>
    <m/>
    <m/>
    <m/>
    <m/>
    <m/>
    <n v="0"/>
    <m/>
    <n v="0"/>
    <m/>
    <n v="725.75"/>
    <n v="309.37857388908026"/>
    <n v="224531.5"/>
    <s v="BANCOS"/>
    <m/>
    <d v="2026-07-15T00:00:00"/>
  </r>
  <r>
    <x v="9"/>
    <s v="-"/>
    <s v="ACEITES PARA CAMBIO DE PANEL "/>
    <x v="10"/>
    <m/>
    <m/>
    <m/>
    <m/>
    <m/>
    <n v="0"/>
    <n v="0.75"/>
    <e v="#REF!"/>
    <d v="1899-12-30T00:00:00"/>
    <n v="725.75"/>
    <n v="49.919311057526699"/>
    <n v="36228.94"/>
    <s v="BANCOS"/>
    <m/>
    <d v="2026-07-15T00:00:00"/>
  </r>
  <r>
    <x v="9"/>
    <s v="SERVICIO NACIONAL DE CONTRATACIONES"/>
    <s v="TASA POR ACTUALIZACION DE REGISTRO RNC 2026 (ANUAL)"/>
    <x v="35"/>
    <m/>
    <m/>
    <m/>
    <m/>
    <m/>
    <e v="#REF!"/>
    <n v="0.75"/>
    <e v="#REF!"/>
    <d v="1899-12-30T00:00:00"/>
    <n v="727.45"/>
    <n v="153.60890782871675"/>
    <n v="111742.8"/>
    <s v="BANCOS"/>
    <m/>
    <d v="2026-07-16T00:00:00"/>
  </r>
  <r>
    <x v="9"/>
    <s v="-"/>
    <s v="GESTION PERMISO DE TRASLADO DE PANEL DIFERENCIA 50% (TASA EURO)"/>
    <x v="35"/>
    <m/>
    <m/>
    <m/>
    <m/>
    <m/>
    <n v="0"/>
    <n v="0.75"/>
    <n v="0"/>
    <d v="1899-12-30T00:00:00"/>
    <n v="727.45"/>
    <n v="57.603271702522505"/>
    <n v="41903.5"/>
    <s v="BANCOS"/>
    <m/>
    <d v="2026-07-17T00:00:00"/>
  </r>
  <r>
    <x v="9"/>
    <s v="CORPOELEC"/>
    <s v="ELECTRICIDAD/RELLENO SANITARIO / TIENDA JUNIO"/>
    <x v="33"/>
    <m/>
    <m/>
    <m/>
    <m/>
    <m/>
    <m/>
    <m/>
    <m/>
    <m/>
    <n v="742.23"/>
    <n v="117.35250528811824"/>
    <n v="87102.55"/>
    <s v="BANCOS"/>
    <m/>
    <d v="2026-07-24T00:00:00"/>
  </r>
  <r>
    <x v="9"/>
    <s v="TIENDA"/>
    <s v="GASTOS DE SEGURIDAD"/>
    <x v="12"/>
    <m/>
    <m/>
    <m/>
    <m/>
    <m/>
    <n v="0"/>
    <m/>
    <n v="0"/>
    <m/>
    <n v="742.23"/>
    <n v="50"/>
    <n v="37111.5"/>
    <s v="CAJA ADMON"/>
    <m/>
    <d v="2026-07-16T00:00:00"/>
  </r>
  <r>
    <x v="10"/>
    <s v="DYNAMIC TECNOLOGIA "/>
    <s v="CARGADOR DUAL SOPORTE TECNICO"/>
    <x v="34"/>
    <m/>
    <m/>
    <m/>
    <m/>
    <m/>
    <n v="0"/>
    <n v="0.75"/>
    <e v="#REF!"/>
    <d v="1899-12-30T00:00:00"/>
    <n v="732.48"/>
    <n v="67.59445991699431"/>
    <n v="49511.59"/>
    <s v="BANCOS"/>
    <m/>
    <d v="2026-07-17T00:00:00"/>
  </r>
  <r>
    <x v="10"/>
    <s v="LOS INTOCABLES"/>
    <s v="CAMBIO DE ACEITE PANEL (MANO DE OBRA)"/>
    <x v="10"/>
    <m/>
    <m/>
    <m/>
    <m/>
    <m/>
    <n v="0"/>
    <m/>
    <e v="#REF!"/>
    <m/>
    <n v="732.48"/>
    <n v="14.999863477501092"/>
    <n v="10987.1"/>
    <s v="BANCOS"/>
    <m/>
    <d v="2026-07-17T00:00:00"/>
  </r>
  <r>
    <x v="10"/>
    <s v="DYNAMIC TECNOLOGIA "/>
    <s v="ADAPTADOR MARKETING"/>
    <x v="36"/>
    <m/>
    <m/>
    <m/>
    <m/>
    <m/>
    <n v="0"/>
    <m/>
    <n v="0"/>
    <m/>
    <n v="732.48"/>
    <n v="15.078787134119702"/>
    <n v="11044.91"/>
    <s v="BANCOS"/>
    <m/>
    <d v="2026-07-17T00:00:00"/>
  </r>
  <r>
    <x v="11"/>
    <s v="MEGA SOFT"/>
    <s v="PLATAFORMA DIGITAL SERVICIO MES JUNIO"/>
    <x v="6"/>
    <m/>
    <m/>
    <m/>
    <m/>
    <m/>
    <e v="#REF!"/>
    <m/>
    <e v="#REF!"/>
    <m/>
    <n v="737.23"/>
    <n v="58.854346676071245"/>
    <n v="43389.19"/>
    <s v="BANCOS"/>
    <m/>
    <d v="2026-07-21T00:00:00"/>
  </r>
  <r>
    <x v="11"/>
    <m/>
    <s v="CERTIFICADO MEDICO CONDUCTOR"/>
    <x v="35"/>
    <m/>
    <m/>
    <m/>
    <m/>
    <m/>
    <e v="#REF!"/>
    <m/>
    <e v="#REF!"/>
    <m/>
    <n v="737.23"/>
    <n v="19.991861427234376"/>
    <n v="14738.6"/>
    <s v="BANCOS"/>
    <m/>
    <d v="2026-07-21T00:00:00"/>
  </r>
  <r>
    <x v="11"/>
    <s v="SUMINISTROS PLASTICOS CARIBE"/>
    <s v="ENVOPLAST NEGROS PARA ENVIOS + BOLSAS "/>
    <x v="37"/>
    <m/>
    <m/>
    <m/>
    <m/>
    <m/>
    <n v="0"/>
    <m/>
    <e v="#REF!"/>
    <m/>
    <n v="737.23"/>
    <n v="383.14999389607038"/>
    <n v="282469.67"/>
    <s v="BANCOS"/>
    <m/>
    <d v="2026-07-22T00:00:00"/>
  </r>
  <r>
    <x v="11"/>
    <s v="VENSPEED"/>
    <s v="TIRROS POR 3 CAJAS"/>
    <x v="37"/>
    <m/>
    <m/>
    <m/>
    <m/>
    <m/>
    <n v="0"/>
    <m/>
    <e v="#REF!"/>
    <m/>
    <n v="737.23"/>
    <n v="251.75280441653214"/>
    <n v="185599.72"/>
    <s v="BANCOS"/>
    <m/>
    <d v="2026-07-22T00:00:00"/>
  </r>
  <r>
    <x v="11"/>
    <s v="ETIQWORLDS"/>
    <s v="ROLLITOS DE ETIQUETAS + DELIVERY"/>
    <x v="37"/>
    <m/>
    <m/>
    <m/>
    <m/>
    <m/>
    <e v="#REF!"/>
    <m/>
    <e v="#REF!"/>
    <m/>
    <n v="737.23"/>
    <n v="182.75041710185423"/>
    <n v="134729.09"/>
    <s v="BANCOS"/>
    <m/>
    <d v="2026-07-22T00:00:00"/>
  </r>
  <r>
    <x v="11"/>
    <m/>
    <s v="ROLLOS TERMICOS "/>
    <x v="38"/>
    <m/>
    <m/>
    <m/>
    <m/>
    <m/>
    <n v="0"/>
    <m/>
    <n v="0"/>
    <m/>
    <n v="737.88"/>
    <n v="178.00000000000003"/>
    <n v="131342.64000000001"/>
    <s v="BANCOS"/>
    <m/>
    <d v="2026-07-23T00:00:00"/>
  </r>
  <r>
    <x v="11"/>
    <s v="ITBM"/>
    <s v="PLATAFORMA DIGITAL MES JULIO"/>
    <x v="6"/>
    <m/>
    <m/>
    <m/>
    <m/>
    <m/>
    <m/>
    <m/>
    <m/>
    <m/>
    <n v="742.23"/>
    <n v="140"/>
    <n v="103912.2"/>
    <s v="BANCOS"/>
    <m/>
    <d v="2026-07-24T00:00:00"/>
  </r>
  <r>
    <x v="12"/>
    <s v="JESUS BOLIVAR "/>
    <s v="PAGO DE LIQUIDACION"/>
    <x v="39"/>
    <m/>
    <m/>
    <m/>
    <m/>
    <m/>
    <n v="0"/>
    <m/>
    <e v="#REF!"/>
    <m/>
    <n v="737.88"/>
    <n v="56.042391716810322"/>
    <n v="41352.559999999998"/>
    <s v="BANCOS"/>
    <m/>
    <d v="2026-07-23T00:00:00"/>
  </r>
  <r>
    <x v="13"/>
    <s v="COMPRAS"/>
    <s v="DIF GASTO MTTO MTO REINTEGRO JUAN MARQUEZ"/>
    <x v="32"/>
    <m/>
    <m/>
    <m/>
    <m/>
    <m/>
    <n v="0"/>
    <m/>
    <n v="0"/>
    <m/>
    <n v="744.22"/>
    <n v="5.5524038590739293"/>
    <n v="4132.21"/>
    <s v="BANCOS"/>
    <m/>
    <d v="2026-07-29T00:00:00"/>
  </r>
  <r>
    <x v="13"/>
    <s v="COMPRAS"/>
    <s v="DIF GASOLINA PANEL "/>
    <x v="15"/>
    <m/>
    <m/>
    <m/>
    <m/>
    <m/>
    <e v="#REF!"/>
    <m/>
    <e v="#REF!"/>
    <m/>
    <n v="744.22"/>
    <n v="2.6873773884066536"/>
    <n v="2000"/>
    <s v="BANCOS"/>
    <m/>
    <d v="2026-07-29T00:00:00"/>
  </r>
  <r>
    <x v="13"/>
    <s v="BANCO DE VENEZUELA "/>
    <s v="CREDITO BANCARIO Nº 3 CUOTA Nº 08"/>
    <x v="14"/>
    <m/>
    <m/>
    <m/>
    <m/>
    <m/>
    <n v="0"/>
    <m/>
    <n v="0"/>
    <m/>
    <n v="744.22"/>
    <n v="9757.6410066915687"/>
    <n v="7261831.5899999999"/>
    <s v="BANCOS"/>
    <m/>
    <d v="2026-07-29T00:00:00"/>
  </r>
  <r>
    <x v="13"/>
    <s v="SERVICIOS EMPRESARIALES NGL"/>
    <s v="CONTABILIDAD MENSUAL MES DE JUNIO"/>
    <x v="5"/>
    <m/>
    <m/>
    <m/>
    <m/>
    <m/>
    <n v="0"/>
    <m/>
    <n v="0"/>
    <m/>
    <n v="744.22"/>
    <n v="643.50863991830374"/>
    <n v="478912"/>
    <s v="BANCOS"/>
    <m/>
    <d v="2026-07-29T00:00:00"/>
  </r>
  <r>
    <x v="14"/>
    <s v="COMPRAS"/>
    <s v="LAVADO DE MOTO"/>
    <x v="10"/>
    <m/>
    <m/>
    <m/>
    <m/>
    <m/>
    <m/>
    <m/>
    <m/>
    <m/>
    <n v="742.81"/>
    <n v="5"/>
    <n v="3714.0499999999997"/>
    <s v="BANCOS"/>
    <m/>
    <d v="2026-07-28T00:00:00"/>
  </r>
  <r>
    <x v="14"/>
    <s v="COMPRAS"/>
    <s v="CAMBIO DE ACEITE MOTO"/>
    <x v="10"/>
    <m/>
    <m/>
    <m/>
    <m/>
    <m/>
    <n v="0"/>
    <m/>
    <n v="0"/>
    <m/>
    <n v="742.81"/>
    <n v="25.000000000000004"/>
    <n v="18570.25"/>
    <s v="BANCOS"/>
    <m/>
    <d v="2026-07-28T00:00:00"/>
  </r>
  <r>
    <x v="14"/>
    <s v="COMPRAS"/>
    <s v="FRENOS MOTO"/>
    <x v="10"/>
    <m/>
    <m/>
    <m/>
    <m/>
    <m/>
    <e v="#REF!"/>
    <m/>
    <e v="#REF!"/>
    <m/>
    <n v="742.81"/>
    <n v="30"/>
    <n v="22284.3"/>
    <s v="BANCOS"/>
    <m/>
    <d v="2026-07-28T00:00:00"/>
  </r>
  <r>
    <x v="14"/>
    <s v="COMPRAS"/>
    <s v="CAJA DE MASCARILLAS (TIENDA-TORRE)"/>
    <x v="34"/>
    <m/>
    <m/>
    <m/>
    <m/>
    <m/>
    <n v="0"/>
    <m/>
    <n v="0"/>
    <m/>
    <n v="742.81"/>
    <n v="20"/>
    <n v="14856.199999999999"/>
    <s v="BANCOS"/>
    <m/>
    <d v="2026-07-28T00:00:00"/>
  </r>
  <r>
    <x v="14"/>
    <s v="SENIAT "/>
    <s v="ANTICIPO DE ISLR"/>
    <x v="28"/>
    <m/>
    <m/>
    <m/>
    <m/>
    <m/>
    <n v="0"/>
    <m/>
    <n v="0"/>
    <m/>
    <n v="745.64"/>
    <n v="1552.4589882517032"/>
    <n v="1157575.52"/>
    <s v="BANCOS"/>
    <m/>
    <d v="2026-07-30T00:00:00"/>
  </r>
  <r>
    <x v="14"/>
    <s v="SENIAT "/>
    <s v="RETENCION DE IVA (COMPRAS)"/>
    <x v="27"/>
    <m/>
    <m/>
    <m/>
    <m/>
    <m/>
    <n v="0"/>
    <m/>
    <n v="0"/>
    <m/>
    <n v="745.64"/>
    <n v="20271.090620138406"/>
    <n v="15114936.01"/>
    <s v="BANCOS"/>
    <m/>
    <d v="2026-07-30T00:00:00"/>
  </r>
  <r>
    <x v="14"/>
    <s v="SENIAT "/>
    <s v="DECLARACION DE IGTF "/>
    <x v="17"/>
    <m/>
    <m/>
    <m/>
    <m/>
    <m/>
    <n v="0"/>
    <m/>
    <e v="#REF!"/>
    <m/>
    <n v="745.64"/>
    <n v="507.81073976717988"/>
    <n v="378644"/>
    <s v="BANCOS"/>
    <m/>
    <d v="2026-07-30T00:00:00"/>
  </r>
  <r>
    <x v="14"/>
    <s v="SENIAT "/>
    <s v="DECLARACION DE PENSIONES IVSS JUNIO 2026"/>
    <x v="40"/>
    <m/>
    <m/>
    <m/>
    <m/>
    <m/>
    <n v="0"/>
    <m/>
    <n v="0"/>
    <m/>
    <n v="745.64"/>
    <n v="679.8061531033743"/>
    <n v="506890.66"/>
    <s v="BANCOS"/>
    <m/>
    <d v="2026-07-30T00:00:00"/>
  </r>
  <r>
    <x v="14"/>
    <s v="CORPOELEC"/>
    <s v="ELECTRICIDAD/RELLENO SANITARIO / TIENDA JULIO"/>
    <x v="33"/>
    <m/>
    <m/>
    <m/>
    <m/>
    <m/>
    <n v="0"/>
    <m/>
    <n v="0"/>
    <m/>
    <n v="745.64"/>
    <n v="77.511426425620954"/>
    <n v="57795.62"/>
    <s v="BANCOS"/>
    <m/>
    <d v="2026-07-30T00:00:00"/>
  </r>
  <r>
    <x v="14"/>
    <s v="CORPOELEC"/>
    <s v="ELECTRICIDAD/RELLENO SANITARIO / OFICINA"/>
    <x v="33"/>
    <m/>
    <m/>
    <m/>
    <m/>
    <m/>
    <n v="0"/>
    <m/>
    <n v="0"/>
    <m/>
    <n v="745.64"/>
    <n v="60.905262593208519"/>
    <n v="45413.4"/>
    <s v="BANCOS"/>
    <m/>
    <d v="2026-07-30T00:00:00"/>
  </r>
  <r>
    <x v="14"/>
    <s v="COMPRAS"/>
    <s v="DESENGRASANTE PARA JORNADA DE LAVADO EN TIENDA "/>
    <x v="10"/>
    <m/>
    <m/>
    <m/>
    <m/>
    <m/>
    <n v="0"/>
    <m/>
    <n v="0"/>
    <m/>
    <n v="745.64"/>
    <n v="8"/>
    <n v="5965.12"/>
    <s v="BANCOS"/>
    <m/>
    <d v="2026-07-30T00:00:00"/>
  </r>
  <r>
    <x v="14"/>
    <s v="COMPRAS"/>
    <s v="LAVADO DE PANEL "/>
    <x v="10"/>
    <m/>
    <m/>
    <m/>
    <m/>
    <m/>
    <n v="0"/>
    <m/>
    <n v="0"/>
    <m/>
    <n v="745.64"/>
    <n v="25"/>
    <n v="18641"/>
    <s v="BANCOS"/>
    <m/>
    <d v="2026-07-30T00:00:00"/>
  </r>
  <r>
    <x v="14"/>
    <s v="TRABAJADORES"/>
    <s v="NOMINA 2DA QNA JULIO"/>
    <x v="30"/>
    <m/>
    <m/>
    <m/>
    <m/>
    <m/>
    <n v="0"/>
    <m/>
    <n v="0"/>
    <m/>
    <n v="745.64"/>
    <n v="195.95381149079986"/>
    <n v="146111"/>
    <s v="BANCOS"/>
    <m/>
    <d v="2026-07-30T00:00:00"/>
  </r>
  <r>
    <x v="14"/>
    <s v="TRABAJADORES"/>
    <s v="AYUDA SOCIAL DE TRANSPORTE "/>
    <x v="41"/>
    <m/>
    <m/>
    <m/>
    <m/>
    <m/>
    <n v="0"/>
    <m/>
    <n v="0"/>
    <m/>
    <n v="745.64"/>
    <n v="3136.7155556976559"/>
    <n v="2338860.5869503999"/>
    <s v="BANCOS"/>
    <m/>
    <d v="2026-07-30T00:00:00"/>
  </r>
  <r>
    <x v="15"/>
    <s v="TRABAJADORES"/>
    <s v="LIQUIDACION ( Edil Gil / Franklin Van Der)"/>
    <x v="39"/>
    <m/>
    <m/>
    <m/>
    <m/>
    <m/>
    <n v="0"/>
    <m/>
    <n v="0"/>
    <m/>
    <n v="746.63"/>
    <n v="171.66785422498427"/>
    <n v="128172.37"/>
    <s v="BANCOS"/>
    <m/>
    <d v="2026-07-31T00:00:00"/>
  </r>
  <r>
    <x v="15"/>
    <s v="INCES"/>
    <s v="0,5% POR APORTE DE LIQUIDACIONES DE PRESTACIONES SOCIALES "/>
    <x v="11"/>
    <m/>
    <m/>
    <m/>
    <m/>
    <m/>
    <n v="0"/>
    <m/>
    <n v="0"/>
    <m/>
    <n v="746.63"/>
    <n v="0.14286862301273723"/>
    <n v="106.67"/>
    <s v="BANCOS"/>
    <m/>
    <d v="2026-07-31T00:00:00"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m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  <r>
    <x v="16"/>
    <m/>
    <m/>
    <x v="42"/>
    <m/>
    <m/>
    <m/>
    <m/>
    <m/>
    <n v="0"/>
    <m/>
    <n v="0"/>
    <m/>
    <m/>
    <n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E33F8-C10D-4F72-AF08-FF0CD3ED7EF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6:T27" firstHeaderRow="0" firstDataRow="1" firstDataCol="1"/>
  <pivotFields count="13">
    <pivotField showAll="0"/>
    <pivotField showAll="0"/>
    <pivotField axis="axisRow" showAll="0">
      <items count="27">
        <item m="1" x="13"/>
        <item m="1" x="20"/>
        <item m="1" x="16"/>
        <item x="4"/>
        <item m="1" x="23"/>
        <item m="1" x="22"/>
        <item m="1" x="24"/>
        <item m="1" x="18"/>
        <item m="1" x="14"/>
        <item m="1" x="21"/>
        <item m="1" x="15"/>
        <item x="1"/>
        <item m="1" x="17"/>
        <item m="1" x="25"/>
        <item m="1" x="19"/>
        <item x="0"/>
        <item x="2"/>
        <item x="3"/>
        <item x="5"/>
        <item x="6"/>
        <item x="7"/>
        <item x="8"/>
        <item x="9"/>
        <item x="10"/>
        <item x="11"/>
        <item x="12"/>
        <item t="default"/>
      </items>
    </pivotField>
    <pivotField axis="axisRow" numFmtId="169" showAll="0">
      <items count="3">
        <item x="0"/>
        <item x="1"/>
        <item t="default"/>
      </items>
    </pivotField>
    <pivotField dataField="1" numFmtId="4" showAll="0"/>
    <pivotField dataField="1" numFmtId="4" showAll="0"/>
    <pivotField dataField="1" numFmtId="4" showAll="0"/>
    <pivotField dataField="1" numFmtId="4" showAll="0"/>
    <pivotField showAll="0"/>
    <pivotField showAll="0"/>
    <pivotField numFmtId="43" showAll="0"/>
    <pivotField numFmtId="43" showAll="0"/>
    <pivotField axis="axisRow" showAll="0">
      <items count="8">
        <item m="1" x="4"/>
        <item m="1" x="6"/>
        <item m="1" x="5"/>
        <item x="0"/>
        <item m="1" x="3"/>
        <item x="1"/>
        <item x="2"/>
        <item t="default"/>
      </items>
    </pivotField>
  </pivotFields>
  <rowFields count="3">
    <field x="12"/>
    <field x="3"/>
    <field x="2"/>
  </rowFields>
  <rowItems count="21">
    <i>
      <x v="3"/>
    </i>
    <i r="1">
      <x/>
    </i>
    <i r="2">
      <x v="11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1">
      <x v="1"/>
    </i>
    <i r="2">
      <x v="25"/>
    </i>
    <i>
      <x v="5"/>
    </i>
    <i r="1">
      <x/>
    </i>
    <i r="2">
      <x v="3"/>
    </i>
    <i>
      <x v="6"/>
    </i>
    <i r="1">
      <x v="1"/>
    </i>
    <i r="2"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BASE" fld="4" baseField="0" baseItem="0" numFmtId="4"/>
    <dataField name="Suma de IVA" fld="5" baseField="0" baseItem="0" numFmtId="4"/>
    <dataField name="Suma de TOTAL" fld="6" baseField="0" baseItem="0" numFmtId="4"/>
    <dataField name="Suma de IMPORTE ADEUDADO" fld="7" baseField="0" baseItem="0" numFmtId="4"/>
  </dataFields>
  <formats count="14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2" type="button" dataOnly="0" labelOnly="1" outline="0" axis="axisRow" fieldPosition="0"/>
    </format>
    <format dxfId="46">
      <pivotArea dataOnly="0" labelOnly="1" fieldPosition="0">
        <references count="1">
          <reference field="12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field="12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2" count="0"/>
        </references>
      </pivotArea>
    </format>
    <format dxfId="38">
      <pivotArea dataOnly="0" labelOnly="1" fieldPosition="0">
        <references count="1">
          <reference field="12" count="1">
            <x v="3"/>
          </reference>
        </references>
      </pivotArea>
    </format>
    <format dxfId="37">
      <pivotArea dataOnly="0" labelOnly="1" fieldPosition="0">
        <references count="1">
          <reference field="12" count="1">
            <x v="5"/>
          </reference>
        </references>
      </pivotArea>
    </format>
    <format dxfId="36">
      <pivotArea dataOnly="0" labelOnly="1" fieldPosition="0">
        <references count="1">
          <reference field="12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584A3-3916-46A6-9130-3A4D4209AC44}" name="TablaDinámica4" cacheId="1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3:B8" firstHeaderRow="2" firstDataRow="2" firstDataCol="1"/>
  <pivotFields count="18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2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2" outline="0" showAll="0" includeNewItemsInFilter="1"/>
    <pivotField compact="0" numFmtId="9" outline="0" showAll="0" includeNewItemsInFilter="1"/>
    <pivotField compact="0" numFmtId="4" outline="0" showAll="0" includeNewItemsInFilter="1"/>
    <pivotField compact="0" numFmtId="4" outline="0" showAll="0" includeNewItemsInFilter="1"/>
    <pivotField compact="0" numFmtId="4" outline="0" showAll="0" includeNewItemsInFilter="1"/>
    <pivotField dataField="1" compact="0" numFmtId="4" outline="0" showAll="0" includeNewItemsInFilter="1"/>
    <pivotField compact="0" numFmtId="4" outline="0" subtotalTop="0" showAll="0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USD" fld="12" baseField="0" baseItem="0" numFmtId="4"/>
  </dataFields>
  <formats count="4">
    <format dxfId="3">
      <pivotArea type="all" dataOnly="0" outline="0" fieldPosition="0"/>
    </format>
    <format dxfId="2">
      <pivotArea outline="0" fieldPosition="0"/>
    </format>
    <format dxfId="1">
      <pivotArea type="origin" dataOnly="0" labelOnly="1" outline="0" fieldPosition="0"/>
    </format>
    <format dxfId="0">
      <pivotArea dataOnly="0" labelOnly="1" grandCol="1" outline="0" axis="axisCol" fieldPosition="0"/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E69BA-932D-4359-AFCE-85017E52FDED}" name="TablaDinámica6" cacheId="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3:B48" firstHeaderRow="2" firstDataRow="2" firstDataCol="1" rowPageCount="1" colPageCount="1"/>
  <pivotFields count="19">
    <pivotField axis="axisPage" compact="0" outline="0" showAll="0" includeNewItemsInFilter="1">
      <items count="18">
        <item x="16"/>
        <item x="0"/>
        <item x="1"/>
        <item x="2"/>
        <item x="3"/>
        <item x="5"/>
        <item x="4"/>
        <item x="6"/>
        <item x="9"/>
        <item x="7"/>
        <item x="8"/>
        <item x="10"/>
        <item x="11"/>
        <item x="14"/>
        <item x="13"/>
        <item x="15"/>
        <item x="12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3">
        <item x="4"/>
        <item x="13"/>
        <item x="22"/>
        <item x="31"/>
        <item x="8"/>
        <item x="23"/>
        <item x="18"/>
        <item x="17"/>
        <item x="11"/>
        <item x="19"/>
        <item x="28"/>
        <item x="1"/>
        <item x="29"/>
        <item x="30"/>
        <item x="14"/>
        <item x="16"/>
        <item x="27"/>
        <item x="12"/>
        <item x="7"/>
        <item m="1" x="60"/>
        <item x="42"/>
        <item x="15"/>
        <item m="1" x="50"/>
        <item m="1" x="56"/>
        <item x="40"/>
        <item m="1" x="43"/>
        <item x="3"/>
        <item x="10"/>
        <item x="33"/>
        <item m="1" x="45"/>
        <item x="20"/>
        <item m="1" x="44"/>
        <item m="1" x="46"/>
        <item m="1" x="61"/>
        <item x="6"/>
        <item x="21"/>
        <item x="0"/>
        <item x="2"/>
        <item m="1" x="55"/>
        <item x="5"/>
        <item x="26"/>
        <item m="1" x="47"/>
        <item m="1" x="51"/>
        <item x="34"/>
        <item x="24"/>
        <item x="25"/>
        <item x="35"/>
        <item m="1" x="58"/>
        <item m="1" x="59"/>
        <item m="1" x="57"/>
        <item m="1" x="52"/>
        <item x="38"/>
        <item x="37"/>
        <item m="1" x="49"/>
        <item x="36"/>
        <item m="1" x="53"/>
        <item m="1" x="54"/>
        <item x="39"/>
        <item m="1" x="48"/>
        <item x="41"/>
        <item x="9"/>
        <item x="3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4" outline="0" showAll="0" includeNewItemsInFilter="1"/>
    <pivotField compact="0" outline="0" showAll="0" includeNewItemsInFilter="1"/>
    <pivotField compact="0" numFmtId="4" outline="0" showAll="0" includeNewItemsInFilter="1"/>
    <pivotField compact="0" outline="0" showAll="0" includeNewItemsInFilter="1"/>
    <pivotField compact="0" numFmtId="4" outline="0" showAll="0" includeNewItemsInFilter="1"/>
    <pivotField dataField="1" compact="0" numFmtId="43" outline="0" showAll="0" includeNewItemsInFilter="1"/>
    <pivotField compact="0" numFmtId="43" outline="0" subtotalTop="0" showAll="0" defaultSubtotal="0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4"/>
    </i>
    <i>
      <x v="26"/>
    </i>
    <i>
      <x v="27"/>
    </i>
    <i>
      <x v="28"/>
    </i>
    <i>
      <x v="30"/>
    </i>
    <i>
      <x v="34"/>
    </i>
    <i>
      <x v="35"/>
    </i>
    <i>
      <x v="36"/>
    </i>
    <i>
      <x v="37"/>
    </i>
    <i>
      <x v="39"/>
    </i>
    <i>
      <x v="40"/>
    </i>
    <i>
      <x v="43"/>
    </i>
    <i>
      <x v="44"/>
    </i>
    <i>
      <x v="45"/>
    </i>
    <i>
      <x v="46"/>
    </i>
    <i>
      <x v="51"/>
    </i>
    <i>
      <x v="52"/>
    </i>
    <i>
      <x v="54"/>
    </i>
    <i>
      <x v="57"/>
    </i>
    <i>
      <x v="59"/>
    </i>
    <i>
      <x v="60"/>
    </i>
    <i>
      <x v="61"/>
    </i>
    <i t="grand">
      <x/>
    </i>
  </rowItems>
  <colItems count="1">
    <i/>
  </colItems>
  <pageFields count="1">
    <pageField fld="0" hier="0"/>
  </pageFields>
  <dataFields count="1">
    <dataField name="Suma de USD" fld="14" baseField="0" baseItem="0" numFmtId="43"/>
  </dataField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0FA91-7A74-457A-BF2E-0E65C80B370A}" name="Tabla1" displayName="Tabla1" ref="A5:A7" totalsRowShown="0" headerRowDxfId="64" dataDxfId="63">
  <autoFilter ref="A5:A7" xr:uid="{1F8374E6-7B6B-424D-A009-EF83D4AD7C5C}"/>
  <tableColumns count="1">
    <tableColumn id="1" xr3:uid="{00000000-0010-0000-0100-000001000000}" name="TIPO DE COMPRA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40546A-C5B6-4D76-B212-CFE62223BB94}" name="Tabla2" displayName="Tabla2" ref="C5:C72" totalsRowShown="0" headerRowDxfId="61" dataDxfId="60">
  <autoFilter ref="C5:C72" xr:uid="{C7D2468C-73D3-484C-9A4C-EA37A2B0FD0E}"/>
  <sortState xmlns:xlrd2="http://schemas.microsoft.com/office/spreadsheetml/2017/richdata2" ref="C6:C72">
    <sortCondition ref="C6:C72"/>
  </sortState>
  <tableColumns count="1">
    <tableColumn id="1" xr3:uid="{00000000-0010-0000-0300-000001000000}" name="TIPO DE GASTOS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604E4-1327-4ABD-AD3A-80DCE34FEFBE}" name="Tabla3" displayName="Tabla3" ref="E5:E9" totalsRowShown="0" headerRowDxfId="58" dataDxfId="57">
  <autoFilter ref="E5:E9" xr:uid="{6C822AC2-0CC0-4033-B123-26DB0B835A94}"/>
  <tableColumns count="1">
    <tableColumn id="1" xr3:uid="{00000000-0010-0000-0500-000001000000}" name="T / P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C55722-25A2-4B8A-89CC-F07C5D2FFCDF}" name="Tabla5" displayName="Tabla5" ref="G5:G7" totalsRowShown="0" headerRowDxfId="55" dataDxfId="54">
  <autoFilter ref="G5:G7" xr:uid="{66D8AA65-CC3F-4BF5-8D54-E2C92A1F71C6}"/>
  <tableColumns count="1">
    <tableColumn id="1" xr3:uid="{00000000-0010-0000-0700-000001000000}" name="DEL MES" dataDxfId="5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3F2C64-D852-4AD5-B3A3-C7639928E3EE}" name="Tabla6" displayName="Tabla6" ref="I5:I7" totalsRowShown="0" headerRowDxfId="52" dataDxfId="51">
  <autoFilter ref="I5:I7" xr:uid="{6A3A0594-22A0-431C-B954-B13ED2B46E45}"/>
  <tableColumns count="1">
    <tableColumn id="1" xr3:uid="{00000000-0010-0000-0900-000001000000}" name="PAGADO O POR PAGAR" dataDxfId="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5A3325-1C01-4002-A462-CF37062AC399}" name="Tabla7" displayName="Tabla7" ref="A6:S65" totalsRowShown="0" headerRowDxfId="35" dataDxfId="34">
  <autoFilter ref="A6:S65" xr:uid="{DA7B78C2-23A0-472B-9FAB-B9D33C024679}"/>
  <sortState xmlns:xlrd2="http://schemas.microsoft.com/office/spreadsheetml/2017/richdata2" ref="A7:S41">
    <sortCondition ref="B7:B65"/>
  </sortState>
  <tableColumns count="19">
    <tableColumn id="1" xr3:uid="{00000000-0010-0000-0B00-000001000000}" name="IT" dataDxfId="33"/>
    <tableColumn id="2" xr3:uid="{00000000-0010-0000-0B00-000002000000}" name="FECHA  FACTURA" dataDxfId="32"/>
    <tableColumn id="3" xr3:uid="{00000000-0010-0000-0B00-000003000000}" name="PROVEEDOR" dataDxfId="31"/>
    <tableColumn id="5" xr3:uid="{00000000-0010-0000-0B00-000005000000}" name="TIPO DE COMPRA" dataDxfId="30"/>
    <tableColumn id="6" xr3:uid="{00000000-0010-0000-0B00-000006000000}" name="NOTA DE ENTREGA" dataDxfId="29"/>
    <tableColumn id="7" xr3:uid="{00000000-0010-0000-0B00-000007000000}" name="Nº FT" dataDxfId="28"/>
    <tableColumn id="8" xr3:uid="{00000000-0010-0000-0B00-000008000000}" name="EXENTO" dataDxfId="27" dataCellStyle="Millares"/>
    <tableColumn id="9" xr3:uid="{00000000-0010-0000-0B00-000009000000}" name="BASE IMPONIBLE" dataDxfId="26" dataCellStyle="Millares"/>
    <tableColumn id="10" xr3:uid="{00000000-0010-0000-0B00-00000A000000}" name="IVA" dataDxfId="25"/>
    <tableColumn id="11" xr3:uid="{00000000-0010-0000-0B00-00000B000000}" name="% RET. IVA" dataDxfId="24" dataCellStyle="Millares"/>
    <tableColumn id="12" xr3:uid="{00000000-0010-0000-0B00-00000C000000}" name="RETENCIÓN IVA" dataDxfId="23"/>
    <tableColumn id="13" xr3:uid="{00000000-0010-0000-0B00-00000D000000}" name="A PAGAR" dataDxfId="22"/>
    <tableColumn id="14" xr3:uid="{00000000-0010-0000-0B00-00000E000000}" name="TASA DE CAMBIO" dataDxfId="21"/>
    <tableColumn id="15" xr3:uid="{00000000-0010-0000-0B00-00000F000000}" name="USD" dataDxfId="20"/>
    <tableColumn id="20" xr3:uid="{00000000-0010-0000-0B00-000014000000}" name="PAGADO BS" dataDxfId="19">
      <calculatedColumnFormula>+Tabla7[[#This Row],[USD]]*Tabla7[[#This Row],[TASA DE CAMBIO]]</calculatedColumnFormula>
    </tableColumn>
    <tableColumn id="16" xr3:uid="{00000000-0010-0000-0B00-000010000000}" name="T / P" dataDxfId="18"/>
    <tableColumn id="17" xr3:uid="{00000000-0010-0000-0B00-000011000000}" name="DEL MES" dataDxfId="17"/>
    <tableColumn id="19" xr3:uid="{00000000-0010-0000-0B00-000013000000}" name="FECHA DE PAGO" dataDxfId="16"/>
    <tableColumn id="22" xr3:uid="{00000000-0010-0000-0B00-000016000000}" name="OBSERVACIONE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A229E8-3E38-4733-9CAC-641DE0E204C5}" name="Tabla8" displayName="Tabla8" ref="A3:T108" totalsRowShown="0" headerRowDxfId="88" dataDxfId="86" headerRowBorderDxfId="87" tableBorderDxfId="85" headerRowCellStyle="Millares" dataCellStyle="Millares">
  <autoFilter ref="A3:T108" xr:uid="{2CA229E8-3E38-4733-9CAC-641DE0E204C5}"/>
  <sortState xmlns:xlrd2="http://schemas.microsoft.com/office/spreadsheetml/2017/richdata2" ref="A4:T92">
    <sortCondition ref="B4:B108"/>
  </sortState>
  <tableColumns count="20">
    <tableColumn id="1" xr3:uid="{00000000-0010-0000-0D00-000001000000}" name="IT" dataDxfId="84"/>
    <tableColumn id="2" xr3:uid="{00000000-0010-0000-0D00-000002000000}" name="FECHA" dataDxfId="83"/>
    <tableColumn id="3" xr3:uid="{00000000-0010-0000-0D00-000003000000}" name="PROVEEDOR" dataDxfId="82"/>
    <tableColumn id="4" xr3:uid="{00000000-0010-0000-0D00-000004000000}" name="CONCEPTO" dataDxfId="81"/>
    <tableColumn id="5" xr3:uid="{00000000-0010-0000-0D00-000005000000}" name="TIPO DE GASTOS" dataDxfId="80"/>
    <tableColumn id="6" xr3:uid="{00000000-0010-0000-0D00-000006000000}" name="NOTA DE ENTREGA" dataDxfId="79"/>
    <tableColumn id="7" xr3:uid="{00000000-0010-0000-0D00-000007000000}" name="Nº FT" dataDxfId="78" dataCellStyle="Millares"/>
    <tableColumn id="8" xr3:uid="{00000000-0010-0000-0D00-000008000000}" name="Nº CONTROL" dataDxfId="77" dataCellStyle="Millares"/>
    <tableColumn id="9" xr3:uid="{00000000-0010-0000-0D00-000009000000}" name="EXENTO" dataDxfId="76" dataCellStyle="Millares"/>
    <tableColumn id="10" xr3:uid="{00000000-0010-0000-0D00-00000A000000}" name="BASE IMPONIBLE" dataDxfId="75" dataCellStyle="Millares"/>
    <tableColumn id="11" xr3:uid="{00000000-0010-0000-0D00-00000B000000}" name="IVA" dataDxfId="74">
      <calculatedColumnFormula>+'GASTOS '!$J4*0.16</calculatedColumnFormula>
    </tableColumn>
    <tableColumn id="12" xr3:uid="{00000000-0010-0000-0D00-00000C000000}" name="% RET. IVA" dataDxfId="73"/>
    <tableColumn id="13" xr3:uid="{00000000-0010-0000-0D00-00000D000000}" name="RETENCIÓN IVA" dataDxfId="72">
      <calculatedColumnFormula>+'GASTOS '!$K4*'GASTOS '!$L4</calculatedColumnFormula>
    </tableColumn>
    <tableColumn id="14" xr3:uid="{00000000-0010-0000-0D00-00000E000000}" name="A PAGAR" dataDxfId="71"/>
    <tableColumn id="15" xr3:uid="{00000000-0010-0000-0D00-00000F000000}" name="TASA DE CAMBIO" dataDxfId="70"/>
    <tableColumn id="16" xr3:uid="{00000000-0010-0000-0D00-000010000000}" name="USD" dataDxfId="69" dataCellStyle="Millares">
      <calculatedColumnFormula>IFERROR( Tabla8[[#This Row],[PAGADO BS]]/Tabla8[[#This Row],[TASA DE CAMBIO]], 0)</calculatedColumnFormula>
    </tableColumn>
    <tableColumn id="17" xr3:uid="{00000000-0010-0000-0D00-000011000000}" name="PAGADO BS" dataDxfId="68" dataCellStyle="Millares"/>
    <tableColumn id="18" xr3:uid="{00000000-0010-0000-0D00-000012000000}" name="T / P" dataDxfId="67" dataCellStyle="Millares"/>
    <tableColumn id="19" xr3:uid="{00000000-0010-0000-0D00-000013000000}" name="DEL  MES" dataDxfId="66" dataCellStyle="Millares"/>
    <tableColumn id="20" xr3:uid="{00000000-0010-0000-0D00-000014000000}" name="FECHA PAGO" dataDxfId="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26BE9-7438-4890-A319-8606AA4DDB84}" name="Tabla1535763376121257353426457513538554579600649678" displayName="Tabla1535763376121257353426457513538554579600649678" ref="B5:H15" totalsRowShown="0" headerRowDxfId="14" dataDxfId="12" headerRowBorderDxfId="13" tableBorderDxfId="11" dataCellStyle="Normal">
  <autoFilter ref="B5:H15" xr:uid="{D2626BE9-7438-4890-A319-8606AA4DDB84}"/>
  <tableColumns count="7">
    <tableColumn id="1" xr3:uid="{5AA03FFD-4086-4527-AC2A-3811C462AA09}" name="FECHA" dataDxfId="10" dataCellStyle="Normal"/>
    <tableColumn id="2" xr3:uid="{DA95D35C-6769-4D34-883E-9C65521B201C}" name="DESCRIPCION" dataDxfId="9" dataCellStyle="Normal"/>
    <tableColumn id="4" xr3:uid="{2EE64DA5-D14D-4262-9206-61739290FB01}" name="INGRESOS" dataDxfId="8" dataCellStyle="Millares"/>
    <tableColumn id="6" xr3:uid="{E7F8139E-A57A-487E-9AAC-A973DD4D5E9B}" name="VUELTOS" dataDxfId="7" dataCellStyle="Millares"/>
    <tableColumn id="10" xr3:uid="{3F2A29FA-20F9-4A2B-A028-61F004A03D89}" name="EGRESOS EN CAJA" dataDxfId="6" dataCellStyle="Millares"/>
    <tableColumn id="15" xr3:uid="{73C21E74-341C-44B4-BBD3-7728F25A5031}" name="APARTADO" dataDxfId="5" dataCellStyle="Millares"/>
    <tableColumn id="16" xr3:uid="{8F8DB442-8E0C-47AA-9335-E364A2686563}" name="USD TOTAL" dataDxfId="4" dataCellStyle="Millares">
      <calculatedColumnFormula>IFERROR(+D6+E6-F6-G6,"0")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8085-2843-4A8A-A86C-C328B23CB9E2}">
  <sheetPr codeName="Hoja1"/>
  <dimension ref="A5:I72"/>
  <sheetViews>
    <sheetView topLeftCell="A5" workbookViewId="0">
      <selection activeCell="N45" sqref="N45"/>
    </sheetView>
  </sheetViews>
  <sheetFormatPr baseColWidth="10" defaultColWidth="9.109375" defaultRowHeight="14.4" x14ac:dyDescent="0.3"/>
  <cols>
    <col min="1" max="1" width="22.88671875" style="13" customWidth="1"/>
    <col min="2" max="2" width="4" style="13" customWidth="1"/>
    <col min="3" max="3" width="30.109375" style="13" customWidth="1"/>
    <col min="4" max="4" width="4.6640625" style="13" customWidth="1"/>
    <col min="5" max="5" width="19" style="13" customWidth="1"/>
    <col min="6" max="6" width="4.5546875" style="13" customWidth="1"/>
    <col min="7" max="7" width="14.5546875" style="13" customWidth="1"/>
    <col min="8" max="8" width="5.88671875" style="13" customWidth="1"/>
    <col min="9" max="9" width="20.109375" style="13" customWidth="1"/>
  </cols>
  <sheetData>
    <row r="5" spans="1:9" x14ac:dyDescent="0.3">
      <c r="A5" s="11" t="s">
        <v>18</v>
      </c>
      <c r="B5" s="12"/>
      <c r="C5" s="11" t="s">
        <v>24</v>
      </c>
      <c r="E5" s="14" t="s">
        <v>133</v>
      </c>
      <c r="G5" s="13" t="s">
        <v>58</v>
      </c>
      <c r="I5" s="13" t="s">
        <v>63</v>
      </c>
    </row>
    <row r="6" spans="1:9" x14ac:dyDescent="0.3">
      <c r="A6" s="13" t="s">
        <v>97</v>
      </c>
      <c r="C6" s="13" t="s">
        <v>123</v>
      </c>
      <c r="E6" s="13" t="s">
        <v>114</v>
      </c>
      <c r="G6" s="13" t="s">
        <v>59</v>
      </c>
      <c r="I6" s="13" t="s">
        <v>64</v>
      </c>
    </row>
    <row r="7" spans="1:9" x14ac:dyDescent="0.3">
      <c r="A7" s="13" t="s">
        <v>159</v>
      </c>
      <c r="C7" s="13" t="s">
        <v>30</v>
      </c>
      <c r="E7" s="13" t="s">
        <v>120</v>
      </c>
      <c r="G7" s="13" t="s">
        <v>60</v>
      </c>
      <c r="I7" s="13" t="s">
        <v>65</v>
      </c>
    </row>
    <row r="8" spans="1:9" x14ac:dyDescent="0.3">
      <c r="C8" s="13" t="s">
        <v>107</v>
      </c>
      <c r="E8" s="13" t="s">
        <v>101</v>
      </c>
    </row>
    <row r="9" spans="1:9" x14ac:dyDescent="0.3">
      <c r="C9" s="13" t="s">
        <v>29</v>
      </c>
      <c r="E9" s="13" t="s">
        <v>132</v>
      </c>
    </row>
    <row r="10" spans="1:9" x14ac:dyDescent="0.3">
      <c r="C10" s="13" t="s">
        <v>162</v>
      </c>
    </row>
    <row r="11" spans="1:9" x14ac:dyDescent="0.3">
      <c r="C11" s="13" t="s">
        <v>229</v>
      </c>
    </row>
    <row r="12" spans="1:9" x14ac:dyDescent="0.3">
      <c r="C12" s="13" t="s">
        <v>112</v>
      </c>
    </row>
    <row r="13" spans="1:9" x14ac:dyDescent="0.3">
      <c r="C13" s="13" t="s">
        <v>104</v>
      </c>
    </row>
    <row r="14" spans="1:9" x14ac:dyDescent="0.3">
      <c r="C14" s="13" t="s">
        <v>108</v>
      </c>
    </row>
    <row r="15" spans="1:9" x14ac:dyDescent="0.3">
      <c r="C15" s="13" t="s">
        <v>79</v>
      </c>
    </row>
    <row r="16" spans="1:9" x14ac:dyDescent="0.3">
      <c r="C16" s="13" t="s">
        <v>117</v>
      </c>
    </row>
    <row r="17" spans="3:3" x14ac:dyDescent="0.3">
      <c r="C17" s="15" t="s">
        <v>144</v>
      </c>
    </row>
    <row r="18" spans="3:3" x14ac:dyDescent="0.3">
      <c r="C18" s="13" t="s">
        <v>105</v>
      </c>
    </row>
    <row r="19" spans="3:3" x14ac:dyDescent="0.3">
      <c r="C19" s="13" t="s">
        <v>130</v>
      </c>
    </row>
    <row r="20" spans="3:3" x14ac:dyDescent="0.3">
      <c r="C20" s="13" t="s">
        <v>142</v>
      </c>
    </row>
    <row r="21" spans="3:3" x14ac:dyDescent="0.3">
      <c r="C21" s="13" t="s">
        <v>424</v>
      </c>
    </row>
    <row r="22" spans="3:3" x14ac:dyDescent="0.3">
      <c r="C22" s="13" t="s">
        <v>27</v>
      </c>
    </row>
    <row r="23" spans="3:3" x14ac:dyDescent="0.3">
      <c r="C23" s="13" t="s">
        <v>122</v>
      </c>
    </row>
    <row r="24" spans="3:3" x14ac:dyDescent="0.3">
      <c r="C24" s="13" t="s">
        <v>138</v>
      </c>
    </row>
    <row r="25" spans="3:3" x14ac:dyDescent="0.3">
      <c r="C25" s="13" t="s">
        <v>141</v>
      </c>
    </row>
    <row r="26" spans="3:3" x14ac:dyDescent="0.3">
      <c r="C26" s="15" t="s">
        <v>145</v>
      </c>
    </row>
    <row r="27" spans="3:3" x14ac:dyDescent="0.3">
      <c r="C27" s="13" t="s">
        <v>183</v>
      </c>
    </row>
    <row r="28" spans="3:3" x14ac:dyDescent="0.3">
      <c r="C28" s="13" t="s">
        <v>163</v>
      </c>
    </row>
    <row r="29" spans="3:3" x14ac:dyDescent="0.3">
      <c r="C29" s="13" t="s">
        <v>54</v>
      </c>
    </row>
    <row r="30" spans="3:3" x14ac:dyDescent="0.3">
      <c r="C30" s="13" t="s">
        <v>98</v>
      </c>
    </row>
    <row r="31" spans="3:3" x14ac:dyDescent="0.3">
      <c r="C31" s="13" t="s">
        <v>38</v>
      </c>
    </row>
    <row r="32" spans="3:3" x14ac:dyDescent="0.3">
      <c r="C32" s="13" t="s">
        <v>3</v>
      </c>
    </row>
    <row r="33" spans="3:3" x14ac:dyDescent="0.3">
      <c r="C33" s="13" t="s">
        <v>76</v>
      </c>
    </row>
    <row r="34" spans="3:3" x14ac:dyDescent="0.3">
      <c r="C34" s="13" t="s">
        <v>143</v>
      </c>
    </row>
    <row r="35" spans="3:3" x14ac:dyDescent="0.3">
      <c r="C35" s="13" t="s">
        <v>113</v>
      </c>
    </row>
    <row r="36" spans="3:3" x14ac:dyDescent="0.3">
      <c r="C36" s="13" t="s">
        <v>75</v>
      </c>
    </row>
    <row r="37" spans="3:3" x14ac:dyDescent="0.3">
      <c r="C37" s="13" t="s">
        <v>158</v>
      </c>
    </row>
    <row r="38" spans="3:3" x14ac:dyDescent="0.3">
      <c r="C38" s="13" t="s">
        <v>37</v>
      </c>
    </row>
    <row r="39" spans="3:3" x14ac:dyDescent="0.3">
      <c r="C39" s="13" t="s">
        <v>1</v>
      </c>
    </row>
    <row r="40" spans="3:3" x14ac:dyDescent="0.3">
      <c r="C40" s="13" t="s">
        <v>110</v>
      </c>
    </row>
    <row r="41" spans="3:3" x14ac:dyDescent="0.3">
      <c r="C41" s="13" t="s">
        <v>99</v>
      </c>
    </row>
    <row r="42" spans="3:3" x14ac:dyDescent="0.3">
      <c r="C42" s="13" t="s">
        <v>174</v>
      </c>
    </row>
    <row r="43" spans="3:3" x14ac:dyDescent="0.3">
      <c r="C43" s="13" t="s">
        <v>197</v>
      </c>
    </row>
    <row r="44" spans="3:3" x14ac:dyDescent="0.3">
      <c r="C44" s="13" t="s">
        <v>111</v>
      </c>
    </row>
    <row r="45" spans="3:3" x14ac:dyDescent="0.3">
      <c r="C45" s="13" t="s">
        <v>137</v>
      </c>
    </row>
    <row r="46" spans="3:3" x14ac:dyDescent="0.3">
      <c r="C46" s="13" t="s">
        <v>184</v>
      </c>
    </row>
    <row r="47" spans="3:3" x14ac:dyDescent="0.3">
      <c r="C47" s="13" t="s">
        <v>34</v>
      </c>
    </row>
    <row r="48" spans="3:3" x14ac:dyDescent="0.3">
      <c r="C48" s="13" t="s">
        <v>25</v>
      </c>
    </row>
    <row r="49" spans="3:3" x14ac:dyDescent="0.3">
      <c r="C49" s="13" t="s">
        <v>109</v>
      </c>
    </row>
    <row r="50" spans="3:3" x14ac:dyDescent="0.3">
      <c r="C50" s="13" t="s">
        <v>26</v>
      </c>
    </row>
    <row r="51" spans="3:3" x14ac:dyDescent="0.3">
      <c r="C51" s="13" t="s">
        <v>41</v>
      </c>
    </row>
    <row r="52" spans="3:3" x14ac:dyDescent="0.3">
      <c r="C52" s="13" t="s">
        <v>40</v>
      </c>
    </row>
    <row r="53" spans="3:3" x14ac:dyDescent="0.3">
      <c r="C53" s="13" t="s">
        <v>182</v>
      </c>
    </row>
    <row r="54" spans="3:3" x14ac:dyDescent="0.3">
      <c r="C54" s="13" t="s">
        <v>159</v>
      </c>
    </row>
    <row r="55" spans="3:3" x14ac:dyDescent="0.3">
      <c r="C55" s="13" t="s">
        <v>91</v>
      </c>
    </row>
    <row r="56" spans="3:3" x14ac:dyDescent="0.3">
      <c r="C56" s="13" t="s">
        <v>125</v>
      </c>
    </row>
    <row r="57" spans="3:3" x14ac:dyDescent="0.3">
      <c r="C57" s="13" t="s">
        <v>131</v>
      </c>
    </row>
    <row r="58" spans="3:3" x14ac:dyDescent="0.3">
      <c r="C58" s="13" t="s">
        <v>73</v>
      </c>
    </row>
    <row r="59" spans="3:3" x14ac:dyDescent="0.3">
      <c r="C59" s="13" t="s">
        <v>14</v>
      </c>
    </row>
    <row r="60" spans="3:3" x14ac:dyDescent="0.3">
      <c r="C60" s="13" t="s">
        <v>161</v>
      </c>
    </row>
    <row r="61" spans="3:3" x14ac:dyDescent="0.3">
      <c r="C61" s="13" t="s">
        <v>185</v>
      </c>
    </row>
    <row r="62" spans="3:3" x14ac:dyDescent="0.3">
      <c r="C62" s="13" t="s">
        <v>124</v>
      </c>
    </row>
    <row r="63" spans="3:3" x14ac:dyDescent="0.3">
      <c r="C63" s="13" t="s">
        <v>426</v>
      </c>
    </row>
    <row r="64" spans="3:3" x14ac:dyDescent="0.3">
      <c r="C64" s="13" t="s">
        <v>103</v>
      </c>
    </row>
    <row r="65" spans="3:3" x14ac:dyDescent="0.3">
      <c r="C65" s="13" t="s">
        <v>28</v>
      </c>
    </row>
    <row r="66" spans="3:3" x14ac:dyDescent="0.3">
      <c r="C66" s="13" t="s">
        <v>135</v>
      </c>
    </row>
    <row r="67" spans="3:3" x14ac:dyDescent="0.3">
      <c r="C67" s="13" t="s">
        <v>88</v>
      </c>
    </row>
    <row r="68" spans="3:3" x14ac:dyDescent="0.3">
      <c r="C68" s="13" t="s">
        <v>31</v>
      </c>
    </row>
    <row r="69" spans="3:3" x14ac:dyDescent="0.3">
      <c r="C69" s="13" t="s">
        <v>164</v>
      </c>
    </row>
    <row r="70" spans="3:3" x14ac:dyDescent="0.3">
      <c r="C70" s="13" t="s">
        <v>106</v>
      </c>
    </row>
    <row r="71" spans="3:3" x14ac:dyDescent="0.3">
      <c r="C71" s="13" t="s">
        <v>119</v>
      </c>
    </row>
    <row r="72" spans="3:3" x14ac:dyDescent="0.3">
      <c r="C72" s="13" t="s">
        <v>118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C6B7-9E06-4945-90C1-6261B129BE16}">
  <sheetPr codeName="Hoja4">
    <pageSetUpPr fitToPage="1"/>
  </sheetPr>
  <dimension ref="A2:O128"/>
  <sheetViews>
    <sheetView showGridLines="0" tabSelected="1" zoomScale="82" zoomScaleNormal="82" workbookViewId="0">
      <pane ySplit="4" topLeftCell="A89" activePane="bottomLeft" state="frozen"/>
      <selection pane="bottomLeft" activeCell="C112" sqref="C112"/>
    </sheetView>
  </sheetViews>
  <sheetFormatPr baseColWidth="10" defaultColWidth="9.109375" defaultRowHeight="12" x14ac:dyDescent="0.25"/>
  <cols>
    <col min="1" max="1" width="40.33203125" style="20" customWidth="1"/>
    <col min="2" max="2" width="14.44140625" style="20" customWidth="1"/>
    <col min="3" max="3" width="18" style="20" customWidth="1"/>
    <col min="4" max="4" width="13.88671875" style="20" customWidth="1"/>
    <col min="5" max="5" width="26.5546875" style="20" customWidth="1"/>
    <col min="6" max="15" width="13.33203125" style="20" customWidth="1"/>
    <col min="16" max="16384" width="9.109375" style="20"/>
  </cols>
  <sheetData>
    <row r="2" spans="1:5" x14ac:dyDescent="0.25">
      <c r="A2" s="290" t="s">
        <v>102</v>
      </c>
      <c r="B2" s="290"/>
      <c r="C2" s="290"/>
      <c r="D2" s="290"/>
      <c r="E2" s="290"/>
    </row>
    <row r="3" spans="1:5" x14ac:dyDescent="0.25">
      <c r="A3" s="290" t="s">
        <v>427</v>
      </c>
      <c r="B3" s="290"/>
      <c r="C3" s="290"/>
      <c r="D3" s="290"/>
      <c r="E3" s="290"/>
    </row>
    <row r="4" spans="1:5" x14ac:dyDescent="0.25">
      <c r="A4" s="290" t="s">
        <v>271</v>
      </c>
      <c r="B4" s="290"/>
      <c r="C4" s="290"/>
      <c r="D4" s="290"/>
      <c r="E4" s="290"/>
    </row>
    <row r="5" spans="1:5" ht="5.25" customHeight="1" x14ac:dyDescent="0.25"/>
    <row r="6" spans="1:5" x14ac:dyDescent="0.25">
      <c r="A6" s="21" t="s">
        <v>0</v>
      </c>
    </row>
    <row r="7" spans="1:5" x14ac:dyDescent="0.25">
      <c r="A7" s="20" t="s">
        <v>2</v>
      </c>
      <c r="B7" s="22">
        <f>+INGRESOS!P30</f>
        <v>319720.24302667379</v>
      </c>
      <c r="C7" s="293">
        <f>+B7+B8</f>
        <v>370875.4819109416</v>
      </c>
    </row>
    <row r="8" spans="1:5" x14ac:dyDescent="0.25">
      <c r="A8" s="20" t="s">
        <v>1</v>
      </c>
      <c r="B8" s="22">
        <f>+B7*0.16</f>
        <v>51155.238884267805</v>
      </c>
      <c r="C8" s="293"/>
    </row>
    <row r="9" spans="1:5" x14ac:dyDescent="0.25">
      <c r="A9" s="20" t="s">
        <v>100</v>
      </c>
      <c r="B9" s="22">
        <f>+INGRESOS!S30</f>
        <v>204068.08000000002</v>
      </c>
      <c r="C9" s="22">
        <f>+INGRESOS!S30</f>
        <v>204068.08000000002</v>
      </c>
    </row>
    <row r="10" spans="1:5" x14ac:dyDescent="0.25">
      <c r="A10" s="113" t="s">
        <v>3</v>
      </c>
      <c r="B10" s="113"/>
      <c r="C10" s="114">
        <f>+INGRESOS!E31</f>
        <v>584.10165724726437</v>
      </c>
    </row>
    <row r="11" spans="1:5" ht="12.6" thickBot="1" x14ac:dyDescent="0.3">
      <c r="A11" s="21" t="s">
        <v>121</v>
      </c>
      <c r="B11" s="21"/>
      <c r="C11" s="21"/>
      <c r="E11" s="23">
        <f>+C7+C9+C10</f>
        <v>575527.6635681889</v>
      </c>
    </row>
    <row r="13" spans="1:5" x14ac:dyDescent="0.25">
      <c r="A13" s="21" t="s">
        <v>32</v>
      </c>
    </row>
    <row r="14" spans="1:5" x14ac:dyDescent="0.25">
      <c r="A14" s="20" t="str">
        <f t="array" ref="A14">+'B.D.'!$A$6:$A$7</f>
        <v>REPOSICION DE MERCANCIA</v>
      </c>
      <c r="B14" s="22">
        <f>+IFERROR(VLOOKUP(A14,'T.D COMPRAS'!$A$1:B10,2,0),0)</f>
        <v>227987.17194457509</v>
      </c>
      <c r="D14" s="22"/>
    </row>
    <row r="15" spans="1:5" x14ac:dyDescent="0.25">
      <c r="A15" s="20" t="s">
        <v>159</v>
      </c>
      <c r="B15" s="22">
        <f>+IFERROR(VLOOKUP(A15,'T.D COMPRAS'!$A$1:B11,2,0),0)</f>
        <v>10524.504128872402</v>
      </c>
      <c r="D15" s="22"/>
    </row>
    <row r="16" spans="1:5" x14ac:dyDescent="0.25">
      <c r="B16" s="22"/>
      <c r="C16" s="24">
        <f>SUM(B14:B15)</f>
        <v>238511.67607344751</v>
      </c>
      <c r="D16" s="22"/>
    </row>
    <row r="17" spans="1:5" x14ac:dyDescent="0.25">
      <c r="B17" s="25"/>
      <c r="C17" s="22"/>
    </row>
    <row r="18" spans="1:5" ht="15.75" customHeight="1" thickBot="1" x14ac:dyDescent="0.3">
      <c r="A18" s="21" t="s">
        <v>56</v>
      </c>
      <c r="E18" s="26">
        <f>+C16</f>
        <v>238511.67607344751</v>
      </c>
    </row>
    <row r="19" spans="1:5" x14ac:dyDescent="0.25">
      <c r="C19" s="22"/>
      <c r="E19" s="27"/>
    </row>
    <row r="20" spans="1:5" ht="16.5" customHeight="1" thickBot="1" x14ac:dyDescent="0.3">
      <c r="A20" s="21" t="s">
        <v>74</v>
      </c>
      <c r="C20" s="22"/>
      <c r="E20" s="26">
        <f>+E11-E18</f>
        <v>337015.98749474139</v>
      </c>
    </row>
    <row r="21" spans="1:5" ht="12" customHeight="1" x14ac:dyDescent="0.25">
      <c r="C21" s="22"/>
    </row>
    <row r="22" spans="1:5" x14ac:dyDescent="0.25">
      <c r="A22" s="21" t="s">
        <v>62</v>
      </c>
      <c r="B22" s="28"/>
      <c r="C22" s="22"/>
      <c r="D22" s="29"/>
    </row>
    <row r="23" spans="1:5" x14ac:dyDescent="0.25">
      <c r="A23" s="20" t="s">
        <v>30</v>
      </c>
      <c r="B23" s="28">
        <f>+IFERROR(VLOOKUP(A23,'T.D GASTOS'!$A$5:B47,2,0),0)</f>
        <v>0</v>
      </c>
      <c r="C23" s="22"/>
    </row>
    <row r="24" spans="1:5" ht="15.75" customHeight="1" x14ac:dyDescent="0.25">
      <c r="A24" s="20" t="s">
        <v>104</v>
      </c>
      <c r="B24" s="28">
        <f>+IFERROR(VLOOKUP(A24,'T.D GASTOS'!$A$5:B48,2,0),0)</f>
        <v>1518.7244130664501</v>
      </c>
      <c r="C24" s="22"/>
    </row>
    <row r="25" spans="1:5" ht="15.75" customHeight="1" x14ac:dyDescent="0.25">
      <c r="A25" s="20" t="s">
        <v>105</v>
      </c>
      <c r="B25" s="28">
        <f>+IFERROR(VLOOKUP(A25,'T.D GASTOS'!$A$5:B49,2,0),0)</f>
        <v>4563.0579400620045</v>
      </c>
      <c r="C25" s="22"/>
    </row>
    <row r="26" spans="1:5" ht="15.75" customHeight="1" x14ac:dyDescent="0.25">
      <c r="A26" s="20" t="s">
        <v>26</v>
      </c>
      <c r="B26" s="28">
        <f>+IFERROR(VLOOKUP(A26,'T.D GASTOS'!$A$5:B50,2,0),0)</f>
        <v>406.77020832166448</v>
      </c>
      <c r="C26" s="22"/>
    </row>
    <row r="27" spans="1:5" ht="15.75" customHeight="1" x14ac:dyDescent="0.25">
      <c r="A27" s="20" t="s">
        <v>229</v>
      </c>
      <c r="B27" s="28">
        <f>+IFERROR(VLOOKUP(A27,'T.D GASTOS'!$A$5:B51,2,0),0)</f>
        <v>3136.7155556976559</v>
      </c>
      <c r="C27" s="22"/>
    </row>
    <row r="28" spans="1:5" ht="15.75" customHeight="1" x14ac:dyDescent="0.25">
      <c r="A28" s="20" t="s">
        <v>40</v>
      </c>
      <c r="B28" s="28">
        <f>+IFERROR(VLOOKUP(A28,'T.D GASTOS'!$A$5:B52,2,0),0)</f>
        <v>0</v>
      </c>
      <c r="C28" s="22"/>
    </row>
    <row r="29" spans="1:5" ht="15.75" customHeight="1" x14ac:dyDescent="0.25">
      <c r="A29" s="20" t="s">
        <v>106</v>
      </c>
      <c r="B29" s="28">
        <f>+IFERROR(VLOOKUP(A29,'T.D GASTOS'!$A$5:B53,2,0),0)</f>
        <v>0</v>
      </c>
      <c r="C29" s="22"/>
    </row>
    <row r="30" spans="1:5" ht="15.75" hidden="1" customHeight="1" x14ac:dyDescent="0.25">
      <c r="A30" s="20" t="s">
        <v>119</v>
      </c>
      <c r="B30" s="28">
        <f>+IFERROR(VLOOKUP(A30,'T.D GASTOS'!$A$5:B37,2,0),0)</f>
        <v>0</v>
      </c>
      <c r="C30" s="22"/>
    </row>
    <row r="31" spans="1:5" ht="15.75" hidden="1" customHeight="1" x14ac:dyDescent="0.25">
      <c r="A31" s="20" t="s">
        <v>118</v>
      </c>
      <c r="B31" s="28">
        <f>+IFERROR(VLOOKUP(A31,'T.D GASTOS'!$A$5:B38,2,0),0)</f>
        <v>0</v>
      </c>
      <c r="C31" s="22"/>
    </row>
    <row r="32" spans="1:5" ht="15.75" customHeight="1" x14ac:dyDescent="0.25">
      <c r="B32" s="28"/>
      <c r="C32" s="30">
        <f>SUM(B22:B32)</f>
        <v>9625.2681171477743</v>
      </c>
    </row>
    <row r="33" spans="1:3" ht="15.75" customHeight="1" x14ac:dyDescent="0.25">
      <c r="C33" s="22"/>
    </row>
    <row r="34" spans="1:3" ht="15.75" customHeight="1" x14ac:dyDescent="0.25">
      <c r="A34" s="20" t="s">
        <v>30</v>
      </c>
      <c r="B34" s="31">
        <f>+IFERROR(VLOOKUP(A34,'T.D GASTOS'!$A$5:B41,2,0),0)</f>
        <v>0</v>
      </c>
      <c r="C34" s="22"/>
    </row>
    <row r="35" spans="1:3" ht="15.75" customHeight="1" x14ac:dyDescent="0.25">
      <c r="A35" s="20" t="s">
        <v>107</v>
      </c>
      <c r="B35" s="31">
        <f>+IFERROR(VLOOKUP(A35,'T.D GASTOS'!$A$5:B42,2,0),0)</f>
        <v>0</v>
      </c>
      <c r="C35" s="22"/>
    </row>
    <row r="36" spans="1:3" ht="15.75" customHeight="1" x14ac:dyDescent="0.25">
      <c r="A36" s="20" t="s">
        <v>29</v>
      </c>
      <c r="B36" s="31">
        <f>+IFERROR(VLOOKUP(A36,'T.D GASTOS'!$A$5:B43,2,0),0)</f>
        <v>2289.2339325425978</v>
      </c>
      <c r="C36" s="22"/>
    </row>
    <row r="37" spans="1:3" ht="15.75" customHeight="1" x14ac:dyDescent="0.25">
      <c r="A37" s="20" t="s">
        <v>162</v>
      </c>
      <c r="B37" s="31">
        <f>+IFERROR(VLOOKUP(A37,'T.D GASTOS'!$A$5:B44,2,0),0)</f>
        <v>28.313278129282441</v>
      </c>
      <c r="C37" s="22"/>
    </row>
    <row r="38" spans="1:3" ht="15.75" customHeight="1" x14ac:dyDescent="0.25">
      <c r="A38" s="20" t="s">
        <v>108</v>
      </c>
      <c r="B38" s="31">
        <f>+IFERROR(VLOOKUP(A38,'T.D GASTOS'!$A$5:B44,2,0),0)</f>
        <v>330.89988591409485</v>
      </c>
      <c r="C38" s="22"/>
    </row>
    <row r="39" spans="1:3" ht="15.75" customHeight="1" x14ac:dyDescent="0.25">
      <c r="A39" s="20" t="s">
        <v>79</v>
      </c>
      <c r="B39" s="31">
        <f>+IFERROR(VLOOKUP(A39,'T.D GASTOS'!$A$5:B45,2,0),0)</f>
        <v>31.978726440967328</v>
      </c>
      <c r="C39" s="22"/>
    </row>
    <row r="40" spans="1:3" ht="15.75" customHeight="1" x14ac:dyDescent="0.25">
      <c r="A40" s="20" t="s">
        <v>130</v>
      </c>
      <c r="B40" s="31">
        <f>+IFERROR(VLOOKUP(A40,'T.D GASTOS'!$A$5:B46,2,0),0)</f>
        <v>125.60973894012818</v>
      </c>
      <c r="C40" s="22"/>
    </row>
    <row r="41" spans="1:3" ht="15.75" customHeight="1" x14ac:dyDescent="0.25">
      <c r="A41" s="20" t="s">
        <v>142</v>
      </c>
      <c r="B41" s="31">
        <f>+IFERROR(VLOOKUP(A41,'T.D GASTOS'!$A$5:B47,2,0),0)</f>
        <v>0</v>
      </c>
      <c r="C41" s="22"/>
    </row>
    <row r="42" spans="1:3" ht="15.75" customHeight="1" x14ac:dyDescent="0.25">
      <c r="A42" s="20" t="s">
        <v>144</v>
      </c>
      <c r="B42" s="31">
        <f>+IFERROR(VLOOKUP(A42,'T.D GASTOS'!$A$5:B48,2,0),0)</f>
        <v>0</v>
      </c>
      <c r="C42" s="22"/>
    </row>
    <row r="43" spans="1:3" ht="15.75" customHeight="1" x14ac:dyDescent="0.25">
      <c r="A43" s="20" t="s">
        <v>27</v>
      </c>
      <c r="B43" s="31">
        <f>+IFERROR(VLOOKUP(A43,'T.D GASTOS'!$A$5:B49,2,0),0)</f>
        <v>318.49488491468253</v>
      </c>
      <c r="C43" s="22"/>
    </row>
    <row r="44" spans="1:3" ht="15.75" customHeight="1" x14ac:dyDescent="0.25">
      <c r="A44" s="20" t="s">
        <v>138</v>
      </c>
      <c r="B44" s="31">
        <f>+IFERROR(VLOOKUP(A44,'T.D GASTOS'!$A$5:B50,2,0),0)</f>
        <v>42.687377388406652</v>
      </c>
      <c r="C44" s="22"/>
    </row>
    <row r="45" spans="1:3" ht="15.75" customHeight="1" x14ac:dyDescent="0.25">
      <c r="A45" s="20" t="s">
        <v>141</v>
      </c>
      <c r="B45" s="31">
        <f>+IFERROR(VLOOKUP(A45,'T.D GASTOS'!$A$5:B51,2,0),0)</f>
        <v>0</v>
      </c>
      <c r="C45" s="22"/>
    </row>
    <row r="46" spans="1:3" ht="14.25" customHeight="1" x14ac:dyDescent="0.25">
      <c r="A46" s="20" t="s">
        <v>145</v>
      </c>
      <c r="B46" s="31">
        <f>+IFERROR(VLOOKUP(A46,'T.D GASTOS'!$A$5:B52,2,0),0)</f>
        <v>0</v>
      </c>
      <c r="C46" s="22"/>
    </row>
    <row r="47" spans="1:3" ht="14.25" customHeight="1" x14ac:dyDescent="0.25">
      <c r="A47" s="20" t="s">
        <v>163</v>
      </c>
      <c r="B47" s="31">
        <f>+IFERROR(VLOOKUP(A47,'T.D GASTOS'!$A$5:B53,2,0),0)</f>
        <v>43.154994144697383</v>
      </c>
      <c r="C47" s="22"/>
    </row>
    <row r="48" spans="1:3" ht="14.25" customHeight="1" x14ac:dyDescent="0.25">
      <c r="A48" s="20" t="s">
        <v>54</v>
      </c>
      <c r="B48" s="31">
        <f>+IFERROR(VLOOKUP(A48,'T.D GASTOS'!$A$5:B53,2,0),0)</f>
        <v>104.61624923462693</v>
      </c>
      <c r="C48" s="22"/>
    </row>
    <row r="49" spans="1:15" ht="14.25" customHeight="1" x14ac:dyDescent="0.25">
      <c r="A49" s="20" t="s">
        <v>98</v>
      </c>
      <c r="B49" s="31">
        <f>+IFERROR(VLOOKUP(A49,'T.D GASTOS'!$A$5:B54,2,0),0)</f>
        <v>1802.5876300699374</v>
      </c>
      <c r="C49" s="22"/>
    </row>
    <row r="50" spans="1:15" ht="12.75" customHeight="1" x14ac:dyDescent="0.25">
      <c r="A50" s="20" t="s">
        <v>76</v>
      </c>
      <c r="B50" s="31">
        <f>+IFERROR(VLOOKUP(A50,'T.D GASTOS'!$A$5:B55,2,0),0)</f>
        <v>0</v>
      </c>
      <c r="C50" s="22"/>
    </row>
    <row r="51" spans="1:15" ht="14.25" customHeight="1" x14ac:dyDescent="0.25">
      <c r="A51" s="20" t="s">
        <v>75</v>
      </c>
      <c r="B51" s="31">
        <f>+IFERROR(VLOOKUP(A51,'T.D GASTOS'!$A$5:B56,2,0),0)</f>
        <v>388.53531804914826</v>
      </c>
      <c r="C51" s="22"/>
    </row>
    <row r="52" spans="1:15" ht="14.25" customHeight="1" x14ac:dyDescent="0.25">
      <c r="A52" s="20" t="s">
        <v>34</v>
      </c>
      <c r="B52" s="31">
        <f>+IFERROR(VLOOKUP(A52,'T.D GASTOS'!$A$5:B57,2,0),0)</f>
        <v>368.49272135910064</v>
      </c>
      <c r="C52" s="22"/>
    </row>
    <row r="53" spans="1:15" ht="14.25" customHeight="1" x14ac:dyDescent="0.25">
      <c r="A53" s="20" t="s">
        <v>184</v>
      </c>
      <c r="B53" s="31">
        <f>+IFERROR(VLOOKUP(A53,'T.D GASTOS'!$A$5:B58,2,0),0)</f>
        <v>15.078787134119702</v>
      </c>
      <c r="C53" s="22"/>
    </row>
    <row r="54" spans="1:15" ht="14.25" customHeight="1" x14ac:dyDescent="0.25">
      <c r="A54" s="20" t="s">
        <v>25</v>
      </c>
      <c r="B54" s="31">
        <f>+IFERROR(VLOOKUP(A54,'T.D GASTOS'!$A$5:B59,2,0),0)</f>
        <v>19.752048360570726</v>
      </c>
      <c r="C54" s="22"/>
    </row>
    <row r="55" spans="1:15" ht="14.25" customHeight="1" x14ac:dyDescent="0.25">
      <c r="A55" s="20" t="s">
        <v>109</v>
      </c>
      <c r="B55" s="31">
        <f>+IFERROR(VLOOKUP(A55,'T.D GASTOS'!$A$5:B60,2,0),0)</f>
        <v>0</v>
      </c>
      <c r="C55" s="22"/>
    </row>
    <row r="56" spans="1:15" ht="14.25" customHeight="1" x14ac:dyDescent="0.25">
      <c r="A56" s="20" t="s">
        <v>182</v>
      </c>
      <c r="B56" s="31">
        <f>+IFERROR(VLOOKUP(A56,'T.D GASTOS'!$A$5:B60,2,0),0)</f>
        <v>178.00000000000003</v>
      </c>
      <c r="C56" s="22"/>
    </row>
    <row r="57" spans="1:15" ht="14.25" customHeight="1" x14ac:dyDescent="0.25">
      <c r="A57" s="20" t="str">
        <f>+'B.D.'!C54</f>
        <v>PAGO 25% IVA</v>
      </c>
      <c r="B57" s="31">
        <f>+IFERROR(VLOOKUP(A57,'T.D GASTOS'!$A$5:B60,2,0),0)</f>
        <v>0</v>
      </c>
      <c r="C57" s="22"/>
    </row>
    <row r="58" spans="1:15" ht="14.25" customHeight="1" x14ac:dyDescent="0.25">
      <c r="A58" s="20" t="s">
        <v>125</v>
      </c>
      <c r="B58" s="31">
        <f>+IFERROR(VLOOKUP(A58,'T.D GASTOS'!$A$5:B60,2,0),0)</f>
        <v>5369.4322967062071</v>
      </c>
      <c r="C58" s="22"/>
    </row>
    <row r="59" spans="1:15" ht="14.25" customHeight="1" x14ac:dyDescent="0.25">
      <c r="A59" s="20" t="s">
        <v>185</v>
      </c>
      <c r="B59" s="31">
        <f>+IFERROR(VLOOKUP(A59,'T.D GASTOS'!$A$5:B61,2,0),0)</f>
        <v>0</v>
      </c>
      <c r="C59" s="22"/>
    </row>
    <row r="60" spans="1:15" ht="14.25" customHeight="1" x14ac:dyDescent="0.25">
      <c r="A60" s="20" t="s">
        <v>103</v>
      </c>
      <c r="B60" s="31">
        <f>+IFERROR(VLOOKUP(A60,'T.D GASTOS'!$A$5:B61,2,0),0)</f>
        <v>472.91917453502776</v>
      </c>
      <c r="C60" s="22"/>
    </row>
    <row r="61" spans="1:15" ht="14.25" customHeight="1" x14ac:dyDescent="0.25">
      <c r="A61" s="20" t="s">
        <v>28</v>
      </c>
      <c r="B61" s="31">
        <f>+IFERROR(VLOOKUP(A61,'T.D GASTOS'!$A$5:B61,2,0),0)</f>
        <v>0</v>
      </c>
      <c r="C61" s="22"/>
    </row>
    <row r="62" spans="1:15" ht="14.25" customHeight="1" x14ac:dyDescent="0.25">
      <c r="A62" s="20" t="s">
        <v>88</v>
      </c>
      <c r="B62" s="31">
        <f>+IFERROR(VLOOKUP(A62,'T.D GASTOS'!$A$5:B62,2,0),0)</f>
        <v>0</v>
      </c>
      <c r="C62" s="22"/>
      <c r="G62" s="19"/>
      <c r="H62" s="19"/>
      <c r="I62" s="19"/>
      <c r="J62" s="19"/>
      <c r="K62" s="19"/>
      <c r="L62" s="19"/>
      <c r="M62" s="19"/>
      <c r="N62" s="19"/>
      <c r="O62" s="19"/>
    </row>
    <row r="63" spans="1:15" ht="14.25" customHeight="1" x14ac:dyDescent="0.25">
      <c r="A63" s="20" t="s">
        <v>31</v>
      </c>
      <c r="B63" s="31">
        <f>+IFERROR(VLOOKUP(A63,'T.D GASTOS'!$A$5:B63,2,0),0)</f>
        <v>0</v>
      </c>
      <c r="C63" s="22"/>
      <c r="G63" s="19"/>
      <c r="H63" s="19"/>
      <c r="I63" s="19"/>
      <c r="J63" s="19"/>
      <c r="K63" s="19"/>
      <c r="L63" s="19"/>
      <c r="M63" s="19"/>
      <c r="N63" s="19"/>
      <c r="O63" s="19"/>
    </row>
    <row r="64" spans="1:15" ht="14.25" customHeight="1" x14ac:dyDescent="0.25">
      <c r="A64" s="20" t="s">
        <v>124</v>
      </c>
      <c r="B64" s="31">
        <f>+IFERROR(VLOOKUP(A64,'T.D GASTOS'!$A$5:B64,2,0),0)</f>
        <v>240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1:15" ht="14.25" customHeight="1" x14ac:dyDescent="0.25">
      <c r="A65" s="20" t="s">
        <v>426</v>
      </c>
      <c r="B65" s="31">
        <f>+IFERROR(VLOOKUP(A65,'T.D GASTOS'!$A$5:B65,2,0),0)</f>
        <v>49.382406043433903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1:15" ht="14.25" customHeight="1" x14ac:dyDescent="0.25">
      <c r="A66" s="20" t="s">
        <v>135</v>
      </c>
      <c r="B66" s="31">
        <f>+IFERROR(VLOOKUP(A66,'T.D GASTOS'!$A$5:B66,2,0),0)</f>
        <v>44.563451617945908</v>
      </c>
      <c r="C66" s="2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1:15" ht="12" customHeight="1" x14ac:dyDescent="0.25">
      <c r="A67" s="20" t="s">
        <v>164</v>
      </c>
      <c r="B67" s="31">
        <f>+IFERROR(VLOOKUP(A67,'T.D GASTOS'!$A$5:B66,2,0),0)</f>
        <v>0</v>
      </c>
      <c r="C67" s="29"/>
      <c r="F67" s="19"/>
    </row>
    <row r="68" spans="1:15" ht="12" customHeight="1" x14ac:dyDescent="0.25">
      <c r="B68" s="25"/>
      <c r="C68" s="24">
        <f>SUM(B34:B68)</f>
        <v>12263.732901524976</v>
      </c>
      <c r="F68" s="19"/>
    </row>
    <row r="69" spans="1:15" ht="12" customHeight="1" x14ac:dyDescent="0.25">
      <c r="B69" s="25"/>
      <c r="F69" s="19"/>
    </row>
    <row r="70" spans="1:15" ht="12" customHeight="1" x14ac:dyDescent="0.25">
      <c r="A70" s="20" t="s">
        <v>131</v>
      </c>
      <c r="B70" s="31">
        <f>+IFERROR(VLOOKUP(A70,'T.D GASTOS'!$A$5:B66,2,0),0)</f>
        <v>21316.462774919819</v>
      </c>
      <c r="D70" s="29"/>
    </row>
    <row r="71" spans="1:15" ht="11.25" customHeight="1" x14ac:dyDescent="0.25">
      <c r="A71" s="20" t="s">
        <v>112</v>
      </c>
      <c r="B71" s="31">
        <f>+IFERROR(VLOOKUP(A71,'T.D GASTOS'!$A$5:B67,2,0),0)</f>
        <v>14.494126563092079</v>
      </c>
    </row>
    <row r="72" spans="1:15" ht="12" customHeight="1" x14ac:dyDescent="0.25">
      <c r="A72" s="20" t="s">
        <v>38</v>
      </c>
      <c r="B72" s="31">
        <f>+IFERROR(VLOOKUP(A72,'T.D GASTOS'!$A$5:B68,2,0),0)</f>
        <v>6418.4905990250854</v>
      </c>
      <c r="E72" s="29"/>
    </row>
    <row r="73" spans="1:15" ht="12" customHeight="1" x14ac:dyDescent="0.25">
      <c r="A73" s="20" t="s">
        <v>3</v>
      </c>
      <c r="B73" s="31">
        <f>+IFERROR(VLOOKUP(A73,'T.D GASTOS'!$A$5:B69,2,0),0)</f>
        <v>508.33474966450257</v>
      </c>
      <c r="E73" s="29"/>
    </row>
    <row r="74" spans="1:15" ht="12" customHeight="1" x14ac:dyDescent="0.25">
      <c r="A74" s="20" t="s">
        <v>143</v>
      </c>
      <c r="B74" s="31">
        <f>+IFERROR(VLOOKUP(A74,'T.D GASTOS'!$A$5:B70,2,0),0)</f>
        <v>0</v>
      </c>
    </row>
    <row r="75" spans="1:15" ht="12" customHeight="1" x14ac:dyDescent="0.25">
      <c r="A75" s="20" t="s">
        <v>113</v>
      </c>
      <c r="B75" s="31">
        <f>+IFERROR(VLOOKUP(A75,'T.D GASTOS'!$A$5:B71,2,0),0)</f>
        <v>27.357319516621939</v>
      </c>
    </row>
    <row r="76" spans="1:15" ht="12" customHeight="1" x14ac:dyDescent="0.25">
      <c r="A76" s="20" t="s">
        <v>37</v>
      </c>
      <c r="B76" s="31">
        <f>+IFERROR(VLOOKUP(A76,'T.D GASTOS'!$A$5:B72,2,0),0)</f>
        <v>2430.8673584174489</v>
      </c>
      <c r="D76" s="294"/>
    </row>
    <row r="77" spans="1:15" ht="12" customHeight="1" x14ac:dyDescent="0.25">
      <c r="A77" s="20" t="s">
        <v>158</v>
      </c>
      <c r="B77" s="31">
        <f>+IFERROR(VLOOKUP(A77,'T.D GASTOS'!$A$5:B73,2,0),0)</f>
        <v>0</v>
      </c>
      <c r="D77" s="294"/>
    </row>
    <row r="78" spans="1:15" ht="12" customHeight="1" x14ac:dyDescent="0.25">
      <c r="A78" s="20" t="s">
        <v>1</v>
      </c>
      <c r="B78" s="31">
        <f>+IFERROR(VLOOKUP(A78,'T.D GASTOS'!$A$5:B73,2,0),0)</f>
        <v>2287.6603176795579</v>
      </c>
      <c r="D78" s="294"/>
    </row>
    <row r="79" spans="1:15" ht="12" customHeight="1" x14ac:dyDescent="0.25">
      <c r="A79" s="20" t="s">
        <v>110</v>
      </c>
      <c r="B79" s="31">
        <f>+IFERROR(VLOOKUP(A79,'T.D GASTOS'!$A$5:B74,2,0),0)</f>
        <v>7.1511462675255775</v>
      </c>
      <c r="D79" s="32"/>
    </row>
    <row r="80" spans="1:15" ht="14.25" customHeight="1" x14ac:dyDescent="0.25">
      <c r="A80" s="20" t="s">
        <v>99</v>
      </c>
      <c r="B80" s="31">
        <f>+IFERROR(VLOOKUP(A80,'T.D GASTOS'!$A$5:B75,2,0),0)</f>
        <v>679.8061531033743</v>
      </c>
      <c r="D80" s="32"/>
    </row>
    <row r="81" spans="1:15" ht="14.25" customHeight="1" x14ac:dyDescent="0.25">
      <c r="A81" s="20" t="s">
        <v>174</v>
      </c>
      <c r="B81" s="31">
        <f>+IFERROR(VLOOKUP(A81,'T.D GASTOS'!$A$5:B76,2,0),0)</f>
        <v>0</v>
      </c>
      <c r="D81" s="32"/>
    </row>
    <row r="82" spans="1:15" ht="12" customHeight="1" x14ac:dyDescent="0.25">
      <c r="A82" s="20" t="s">
        <v>137</v>
      </c>
      <c r="B82" s="31">
        <f>+IFERROR(VLOOKUP(A82,'T.D GASTOS'!$A$5:B76,2,0),0)</f>
        <v>274.45861878453042</v>
      </c>
      <c r="D82" s="32"/>
    </row>
    <row r="83" spans="1:15" ht="12" customHeight="1" x14ac:dyDescent="0.25">
      <c r="A83" s="20" t="s">
        <v>111</v>
      </c>
      <c r="B83" s="31">
        <f>+IFERROR(VLOOKUP(A83,'T.D GASTOS'!$A$5:B76,2,0),0)</f>
        <v>0</v>
      </c>
      <c r="D83" s="32"/>
    </row>
    <row r="84" spans="1:15" ht="12" customHeight="1" x14ac:dyDescent="0.25">
      <c r="A84" s="20" t="s">
        <v>91</v>
      </c>
      <c r="B84" s="31">
        <f>+IFERROR(VLOOKUP(A84,'T.D GASTOS'!$A$5:B77,2,0),0)</f>
        <v>540.58261484755394</v>
      </c>
      <c r="D84" s="32"/>
      <c r="H84" s="22"/>
    </row>
    <row r="85" spans="1:15" x14ac:dyDescent="0.25">
      <c r="A85" s="20" t="s">
        <v>73</v>
      </c>
      <c r="B85" s="31">
        <f>+IFERROR(VLOOKUP(A85,'T.D GASTOS'!$A$5:B78,2,0),0)</f>
        <v>142.33668676751665</v>
      </c>
      <c r="D85" s="32"/>
    </row>
    <row r="86" spans="1:15" x14ac:dyDescent="0.25">
      <c r="A86" s="20" t="s">
        <v>14</v>
      </c>
      <c r="B86" s="31">
        <f>+IFERROR(VLOOKUP(A86,'T.D GASTOS'!$A$5:B79,2,0),0)</f>
        <v>22736.466462679844</v>
      </c>
    </row>
    <row r="87" spans="1:15" x14ac:dyDescent="0.25">
      <c r="A87" s="20" t="s">
        <v>161</v>
      </c>
      <c r="B87" s="31">
        <f>+IFERROR(VLOOKUP(A87,'T.D GASTOS'!$A$5:B80,2,0),0)</f>
        <v>147.48013767841354</v>
      </c>
    </row>
    <row r="88" spans="1:15" x14ac:dyDescent="0.25">
      <c r="A88" s="20" t="s">
        <v>424</v>
      </c>
      <c r="B88" s="31">
        <f>+IFERROR(VLOOKUP(A88,'T.D GASTOS'!$A$5:B81,2,0),0)</f>
        <v>1079.4586925151507</v>
      </c>
    </row>
    <row r="89" spans="1:15" ht="12.6" thickBot="1" x14ac:dyDescent="0.3">
      <c r="B89" s="31"/>
      <c r="C89" s="23">
        <f>SUM(B70:B89)</f>
        <v>58611.407758430039</v>
      </c>
    </row>
    <row r="90" spans="1:15" x14ac:dyDescent="0.25">
      <c r="C90" s="22"/>
    </row>
    <row r="91" spans="1:15" ht="12.6" thickBot="1" x14ac:dyDescent="0.3">
      <c r="A91" s="20" t="s">
        <v>33</v>
      </c>
      <c r="C91" s="22"/>
      <c r="D91" s="33">
        <f>+C89+C68+C32</f>
        <v>80500.408777102784</v>
      </c>
    </row>
    <row r="92" spans="1:15" x14ac:dyDescent="0.25">
      <c r="C92" s="22"/>
      <c r="D92" s="32"/>
    </row>
    <row r="93" spans="1:15" ht="12.6" thickBot="1" x14ac:dyDescent="0.3">
      <c r="A93" s="20" t="s">
        <v>172</v>
      </c>
      <c r="C93" s="29"/>
      <c r="E93" s="34">
        <f>+E20-D91</f>
        <v>256515.57871763862</v>
      </c>
    </row>
    <row r="94" spans="1:15" ht="18" customHeight="1" thickTop="1" x14ac:dyDescent="0.25">
      <c r="C94" s="29"/>
      <c r="D94" s="29"/>
      <c r="G94" s="19"/>
      <c r="H94" s="19"/>
      <c r="I94" s="19"/>
      <c r="J94" s="19"/>
      <c r="K94" s="19"/>
      <c r="L94" s="19"/>
      <c r="M94" s="19"/>
      <c r="N94" s="19"/>
      <c r="O94" s="19"/>
    </row>
    <row r="95" spans="1:15" x14ac:dyDescent="0.25">
      <c r="A95" s="21"/>
      <c r="B95" s="29"/>
      <c r="C95" s="22"/>
    </row>
    <row r="96" spans="1:15" ht="16.5" customHeight="1" x14ac:dyDescent="0.25">
      <c r="B96" s="22"/>
      <c r="C96" s="22"/>
    </row>
    <row r="97" spans="1:6" ht="16.5" customHeight="1" thickBot="1" x14ac:dyDescent="0.3">
      <c r="A97" s="20" t="s">
        <v>195</v>
      </c>
      <c r="B97" s="22"/>
      <c r="C97" s="29"/>
      <c r="E97" s="35">
        <f>+E93</f>
        <v>256515.57871763862</v>
      </c>
    </row>
    <row r="98" spans="1:6" ht="16.5" customHeight="1" thickTop="1" x14ac:dyDescent="0.25">
      <c r="B98" s="22"/>
    </row>
    <row r="99" spans="1:6" ht="16.5" customHeight="1" x14ac:dyDescent="0.25"/>
    <row r="100" spans="1:6" ht="16.5" customHeight="1" x14ac:dyDescent="0.25">
      <c r="A100" s="292" t="s">
        <v>90</v>
      </c>
      <c r="B100" s="292"/>
      <c r="C100" s="292"/>
      <c r="D100" s="292"/>
      <c r="E100" s="292"/>
      <c r="F100" s="292"/>
    </row>
    <row r="101" spans="1:6" ht="16.5" customHeight="1" x14ac:dyDescent="0.25">
      <c r="A101" s="72">
        <f>+INGRESOS!N29</f>
        <v>746.63</v>
      </c>
      <c r="C101" s="21"/>
      <c r="D101" s="29"/>
    </row>
    <row r="102" spans="1:6" ht="16.5" customHeight="1" x14ac:dyDescent="0.25">
      <c r="A102" s="21" t="s">
        <v>148</v>
      </c>
      <c r="B102" s="22" t="s">
        <v>115</v>
      </c>
      <c r="C102" s="36">
        <f>+GETPIVOTDATA("Suma de IMPORTE ADEUDADO",'CUENTAS POR COBRAR'!$P$6)</f>
        <v>1254.67</v>
      </c>
    </row>
    <row r="103" spans="1:6" ht="16.5" customHeight="1" x14ac:dyDescent="0.25">
      <c r="B103" s="22" t="s">
        <v>147</v>
      </c>
      <c r="C103" s="36">
        <f>+'CUENTAS POR COBRAR'!H7</f>
        <v>47065.599999999999</v>
      </c>
    </row>
    <row r="104" spans="1:6" ht="16.5" customHeight="1" thickBot="1" x14ac:dyDescent="0.3">
      <c r="B104" s="22" t="s">
        <v>100</v>
      </c>
      <c r="C104" s="37">
        <f>+'CUENTAS POR COBRAR'!N28</f>
        <v>19530.910000000003</v>
      </c>
      <c r="E104" s="38">
        <f>SUM(C102:C104)</f>
        <v>67851.179999999993</v>
      </c>
    </row>
    <row r="105" spans="1:6" ht="16.5" customHeight="1" thickTop="1" x14ac:dyDescent="0.25">
      <c r="B105" s="22"/>
      <c r="C105" s="22"/>
    </row>
    <row r="106" spans="1:6" ht="16.5" customHeight="1" x14ac:dyDescent="0.25">
      <c r="A106" s="21" t="s">
        <v>150</v>
      </c>
      <c r="B106" s="112" t="s">
        <v>151</v>
      </c>
      <c r="C106" s="112">
        <f>+INGRESOS!F30+INGRESOS!G30+INGRESOS!H30+INGRESOS!I30+INGRESOS!J30+INGRESOS!K30</f>
        <v>320390836.22110999</v>
      </c>
    </row>
    <row r="107" spans="1:6" ht="16.5" customHeight="1" thickBot="1" x14ac:dyDescent="0.3">
      <c r="A107" s="39" t="s">
        <v>153</v>
      </c>
      <c r="B107" s="22" t="s">
        <v>152</v>
      </c>
      <c r="C107" s="37">
        <f>+INGRESOS!L30</f>
        <v>450068.32079690555</v>
      </c>
      <c r="E107" s="38">
        <f>+C107</f>
        <v>450068.32079690555</v>
      </c>
    </row>
    <row r="108" spans="1:6" ht="16.5" customHeight="1" thickTop="1" x14ac:dyDescent="0.25">
      <c r="B108" s="22"/>
      <c r="C108" s="22"/>
    </row>
    <row r="109" spans="1:6" ht="16.5" customHeight="1" x14ac:dyDescent="0.25">
      <c r="A109" s="21" t="s">
        <v>160</v>
      </c>
      <c r="B109" s="22" t="s">
        <v>151</v>
      </c>
      <c r="C109" s="22">
        <v>15670</v>
      </c>
    </row>
    <row r="110" spans="1:6" ht="16.5" customHeight="1" thickBot="1" x14ac:dyDescent="0.3">
      <c r="A110" s="39" t="s">
        <v>153</v>
      </c>
      <c r="B110" s="22" t="s">
        <v>152</v>
      </c>
      <c r="C110" s="37">
        <v>767.52358155705622</v>
      </c>
      <c r="E110" s="38">
        <f>+C110</f>
        <v>767.52358155705622</v>
      </c>
    </row>
    <row r="111" spans="1:6" ht="16.5" customHeight="1" thickTop="1" x14ac:dyDescent="0.25">
      <c r="A111" s="39"/>
      <c r="B111" s="22"/>
      <c r="C111" s="22"/>
      <c r="E111" s="40"/>
    </row>
    <row r="112" spans="1:6" ht="16.5" customHeight="1" x14ac:dyDescent="0.25">
      <c r="A112" s="21" t="s">
        <v>166</v>
      </c>
      <c r="B112" s="111" t="s">
        <v>151</v>
      </c>
      <c r="C112" s="112">
        <v>8629984.4900000002</v>
      </c>
    </row>
    <row r="113" spans="1:6" ht="16.5" customHeight="1" thickBot="1" x14ac:dyDescent="0.3">
      <c r="A113" s="39"/>
      <c r="B113" s="22" t="s">
        <v>152</v>
      </c>
      <c r="C113" s="37">
        <f>+C112/A101</f>
        <v>11558.582550928841</v>
      </c>
      <c r="E113" s="38">
        <f>+C113</f>
        <v>11558.582550928841</v>
      </c>
    </row>
    <row r="114" spans="1:6" ht="16.5" customHeight="1" thickTop="1" x14ac:dyDescent="0.25">
      <c r="A114" s="39" t="s">
        <v>176</v>
      </c>
      <c r="B114" s="22"/>
      <c r="C114" s="22"/>
    </row>
    <row r="115" spans="1:6" ht="16.5" customHeight="1" x14ac:dyDescent="0.25">
      <c r="A115" s="20" t="s">
        <v>154</v>
      </c>
      <c r="B115" s="22"/>
      <c r="C115" s="22"/>
    </row>
    <row r="116" spans="1:6" ht="16.5" hidden="1" customHeight="1" x14ac:dyDescent="0.25">
      <c r="B116" s="22"/>
      <c r="C116" s="22"/>
      <c r="E116" s="22"/>
    </row>
    <row r="117" spans="1:6" ht="16.5" hidden="1" customHeight="1" x14ac:dyDescent="0.25">
      <c r="B117" s="22"/>
      <c r="C117" s="22"/>
    </row>
    <row r="118" spans="1:6" ht="18" hidden="1" customHeight="1" x14ac:dyDescent="0.25">
      <c r="B118" s="22"/>
      <c r="C118" s="22"/>
    </row>
    <row r="119" spans="1:6" ht="16.5" hidden="1" customHeight="1" x14ac:dyDescent="0.25">
      <c r="B119" s="22"/>
      <c r="C119" s="22"/>
    </row>
    <row r="120" spans="1:6" ht="16.5" customHeight="1" thickBot="1" x14ac:dyDescent="0.3">
      <c r="A120" s="291" t="s">
        <v>196</v>
      </c>
      <c r="B120" s="291"/>
      <c r="C120" s="291"/>
    </row>
    <row r="121" spans="1:6" ht="16.5" customHeight="1" thickTop="1" x14ac:dyDescent="0.25">
      <c r="B121" s="22"/>
      <c r="C121" s="22"/>
      <c r="F121" s="21"/>
    </row>
    <row r="122" spans="1:6" ht="16.5" customHeight="1" x14ac:dyDescent="0.25">
      <c r="B122" s="22"/>
      <c r="C122" s="22"/>
    </row>
    <row r="123" spans="1:6" ht="16.5" customHeight="1" x14ac:dyDescent="0.25">
      <c r="B123" s="22"/>
      <c r="C123" s="22"/>
    </row>
    <row r="124" spans="1:6" ht="16.5" customHeight="1" x14ac:dyDescent="0.25">
      <c r="B124" s="22"/>
      <c r="C124" s="22"/>
    </row>
    <row r="125" spans="1:6" ht="16.5" customHeight="1" x14ac:dyDescent="0.25">
      <c r="B125" s="22"/>
      <c r="C125" s="22"/>
    </row>
    <row r="126" spans="1:6" ht="16.5" customHeight="1" x14ac:dyDescent="0.25">
      <c r="B126" s="22"/>
      <c r="C126" s="22"/>
    </row>
    <row r="127" spans="1:6" x14ac:dyDescent="0.25">
      <c r="B127" s="22"/>
      <c r="C127" s="22"/>
    </row>
    <row r="128" spans="1:6" x14ac:dyDescent="0.25">
      <c r="B128" s="22"/>
      <c r="C128" s="22"/>
    </row>
  </sheetData>
  <mergeCells count="7">
    <mergeCell ref="A120:C120"/>
    <mergeCell ref="A100:F100"/>
    <mergeCell ref="C7:C8"/>
    <mergeCell ref="A2:E2"/>
    <mergeCell ref="A3:E3"/>
    <mergeCell ref="A4:E4"/>
    <mergeCell ref="D76:D78"/>
  </mergeCells>
  <pageMargins left="0.70866141732283472" right="0.70866141732283472" top="0.74803149606299213" bottom="0.74803149606299213" header="0.31496062992125984" footer="0.31496062992125984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D540-BFC4-469A-B16B-513B80437679}">
  <sheetPr>
    <pageSetUpPr fitToPage="1"/>
  </sheetPr>
  <dimension ref="A3:AJ48"/>
  <sheetViews>
    <sheetView showGridLines="0" topLeftCell="A3" zoomScale="66" zoomScaleNormal="66" workbookViewId="0">
      <pane xSplit="1" ySplit="4" topLeftCell="B7" activePane="bottomRight" state="frozen"/>
      <selection activeCell="A3" sqref="A3"/>
      <selection pane="topRight" activeCell="B3" sqref="B3"/>
      <selection pane="bottomLeft" activeCell="A8" sqref="A8"/>
      <selection pane="bottomRight" activeCell="I29" sqref="I29"/>
    </sheetView>
  </sheetViews>
  <sheetFormatPr baseColWidth="10" defaultColWidth="15" defaultRowHeight="12" x14ac:dyDescent="0.25"/>
  <cols>
    <col min="1" max="1" width="11.44140625" style="74" customWidth="1"/>
    <col min="2" max="2" width="25.44140625" style="22" customWidth="1"/>
    <col min="3" max="3" width="21.5546875" style="22" customWidth="1"/>
    <col min="4" max="4" width="22.44140625" style="22" customWidth="1"/>
    <col min="5" max="5" width="18.88671875" style="22" customWidth="1"/>
    <col min="6" max="6" width="18" style="22" bestFit="1" customWidth="1"/>
    <col min="7" max="7" width="23" style="22" customWidth="1"/>
    <col min="8" max="8" width="22.33203125" style="22" customWidth="1"/>
    <col min="9" max="10" width="21.6640625" style="22" customWidth="1"/>
    <col min="11" max="11" width="19.88671875" style="22" customWidth="1"/>
    <col min="12" max="12" width="17.109375" style="22" customWidth="1"/>
    <col min="13" max="13" width="1.5546875" style="51" customWidth="1"/>
    <col min="14" max="14" width="12.109375" style="41" customWidth="1"/>
    <col min="15" max="15" width="1.109375" style="20" customWidth="1"/>
    <col min="16" max="16" width="18.33203125" style="20" customWidth="1"/>
    <col min="17" max="17" width="17" style="25" customWidth="1"/>
    <col min="18" max="18" width="1" style="25" customWidth="1"/>
    <col min="19" max="19" width="15.33203125" style="20" customWidth="1"/>
    <col min="20" max="20" width="1.6640625" style="20" customWidth="1"/>
    <col min="21" max="21" width="8" style="42" hidden="1" customWidth="1"/>
    <col min="22" max="22" width="14.33203125" style="42" customWidth="1"/>
    <col min="23" max="23" width="10.5546875" style="42" customWidth="1"/>
    <col min="24" max="24" width="1.44140625" style="20" customWidth="1"/>
    <col min="25" max="25" width="13" style="20" hidden="1" customWidth="1"/>
    <col min="26" max="26" width="12.6640625" style="20" hidden="1" customWidth="1"/>
    <col min="27" max="27" width="1.109375" style="20" hidden="1" customWidth="1"/>
    <col min="28" max="28" width="14.5546875" style="20" hidden="1" customWidth="1"/>
    <col min="29" max="29" width="13.6640625" style="20" hidden="1" customWidth="1"/>
    <col min="30" max="30" width="11.44140625" style="20" hidden="1" customWidth="1"/>
    <col min="31" max="31" width="14.33203125" style="20" hidden="1" customWidth="1"/>
    <col min="32" max="32" width="13.5546875" style="20" hidden="1" customWidth="1"/>
    <col min="33" max="36" width="11.44140625" style="20" hidden="1" customWidth="1"/>
    <col min="37" max="234" width="11.44140625" style="20" customWidth="1"/>
    <col min="235" max="235" width="12.109375" style="20" bestFit="1" customWidth="1"/>
    <col min="236" max="236" width="16.33203125" style="20" bestFit="1" customWidth="1"/>
    <col min="237" max="237" width="12.6640625" style="20" bestFit="1" customWidth="1"/>
    <col min="238" max="238" width="14.109375" style="20" customWidth="1"/>
    <col min="239" max="239" width="16.109375" style="20" customWidth="1"/>
    <col min="240" max="240" width="14.6640625" style="20" customWidth="1"/>
    <col min="241" max="241" width="15.33203125" style="20" customWidth="1"/>
    <col min="242" max="16384" width="15" style="20"/>
  </cols>
  <sheetData>
    <row r="3" spans="1:36" ht="9.75" customHeight="1" thickBot="1" x14ac:dyDescent="0.3">
      <c r="A3" s="3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</row>
    <row r="4" spans="1:36" s="117" customFormat="1" ht="18.75" customHeight="1" thickBot="1" x14ac:dyDescent="0.35">
      <c r="A4" s="115"/>
      <c r="B4" s="314" t="s">
        <v>149</v>
      </c>
      <c r="C4" s="315"/>
      <c r="D4" s="316"/>
      <c r="E4" s="314" t="s">
        <v>167</v>
      </c>
      <c r="F4" s="315"/>
      <c r="G4" s="315"/>
      <c r="H4" s="315"/>
      <c r="I4" s="315"/>
      <c r="J4" s="315"/>
      <c r="K4" s="315"/>
      <c r="L4" s="316"/>
      <c r="M4" s="116"/>
      <c r="N4" s="70"/>
      <c r="P4" s="303" t="s">
        <v>82</v>
      </c>
      <c r="Q4" s="303"/>
      <c r="R4" s="303"/>
      <c r="S4" s="303"/>
      <c r="U4" s="70"/>
      <c r="V4" s="70"/>
      <c r="W4" s="70"/>
    </row>
    <row r="5" spans="1:36" ht="40.5" customHeight="1" thickBot="1" x14ac:dyDescent="0.3">
      <c r="B5" s="305" t="s">
        <v>83</v>
      </c>
      <c r="C5" s="306"/>
      <c r="D5" s="317" t="s">
        <v>129</v>
      </c>
      <c r="E5" s="307" t="s">
        <v>3</v>
      </c>
      <c r="F5" s="307" t="s">
        <v>84</v>
      </c>
      <c r="G5" s="312" t="s">
        <v>114</v>
      </c>
      <c r="H5" s="309" t="s">
        <v>101</v>
      </c>
      <c r="I5" s="310"/>
      <c r="J5" s="310"/>
      <c r="K5" s="310"/>
      <c r="L5" s="311"/>
      <c r="N5" s="109" t="s">
        <v>4</v>
      </c>
      <c r="P5" s="303"/>
      <c r="Q5" s="303"/>
      <c r="R5" s="303"/>
      <c r="S5" s="303"/>
      <c r="U5" s="298" t="s">
        <v>83</v>
      </c>
      <c r="V5" s="299"/>
      <c r="W5" s="300"/>
    </row>
    <row r="6" spans="1:36" s="19" customFormat="1" ht="56.25" customHeight="1" thickBot="1" x14ac:dyDescent="0.3">
      <c r="A6" s="75" t="s">
        <v>16</v>
      </c>
      <c r="B6" s="98" t="s">
        <v>2</v>
      </c>
      <c r="C6" s="99" t="s">
        <v>1</v>
      </c>
      <c r="D6" s="308"/>
      <c r="E6" s="308" t="s">
        <v>3</v>
      </c>
      <c r="F6" s="308"/>
      <c r="G6" s="313"/>
      <c r="H6" s="99" t="s">
        <v>5</v>
      </c>
      <c r="I6" s="99" t="s">
        <v>127</v>
      </c>
      <c r="J6" s="99" t="s">
        <v>128</v>
      </c>
      <c r="K6" s="98" t="s">
        <v>169</v>
      </c>
      <c r="L6" s="98" t="s">
        <v>126</v>
      </c>
      <c r="N6" s="110" t="s">
        <v>5</v>
      </c>
      <c r="P6" s="102" t="s">
        <v>85</v>
      </c>
      <c r="Q6" s="103" t="s">
        <v>86</v>
      </c>
      <c r="R6" s="104"/>
      <c r="S6" s="98" t="s">
        <v>116</v>
      </c>
      <c r="T6" s="105"/>
      <c r="U6" s="98" t="s">
        <v>2</v>
      </c>
      <c r="V6" s="99" t="s">
        <v>1</v>
      </c>
      <c r="W6" s="99" t="s">
        <v>3</v>
      </c>
      <c r="Y6" s="106" t="s">
        <v>156</v>
      </c>
      <c r="Z6" s="106" t="s">
        <v>146</v>
      </c>
      <c r="AB6" s="295" t="s">
        <v>168</v>
      </c>
      <c r="AC6" s="295"/>
      <c r="AE6" s="19" t="s">
        <v>179</v>
      </c>
      <c r="AF6" s="19" t="s">
        <v>191</v>
      </c>
      <c r="AG6" s="19" t="s">
        <v>165</v>
      </c>
      <c r="AH6" s="19" t="s">
        <v>192</v>
      </c>
      <c r="AI6" s="19" t="s">
        <v>193</v>
      </c>
      <c r="AJ6" s="19" t="s">
        <v>194</v>
      </c>
    </row>
    <row r="7" spans="1:36" ht="15" customHeight="1" x14ac:dyDescent="0.25">
      <c r="A7" s="46">
        <v>46204</v>
      </c>
      <c r="B7" s="52">
        <v>8760063.6499999985</v>
      </c>
      <c r="C7" s="52">
        <f t="shared" ref="C7:C29" si="0">+B7*0.16</f>
        <v>1401610.1839999999</v>
      </c>
      <c r="D7" s="52">
        <f t="shared" ref="D7:D29" si="1">+S7*N7</f>
        <v>5845311.108</v>
      </c>
      <c r="E7" s="51">
        <v>0</v>
      </c>
      <c r="F7" s="51">
        <v>17108.4015</v>
      </c>
      <c r="G7" s="51">
        <v>7611712.9299999997</v>
      </c>
      <c r="H7" s="51">
        <v>6021711.9900000002</v>
      </c>
      <c r="I7" s="51">
        <v>1359498.1572</v>
      </c>
      <c r="J7" s="51">
        <v>607648.85639999993</v>
      </c>
      <c r="K7" s="51">
        <v>0</v>
      </c>
      <c r="L7" s="100">
        <f>(F7+G7+H7+I7+J7+K7)/N7</f>
        <v>24658.457015125678</v>
      </c>
      <c r="N7" s="101">
        <v>633.36</v>
      </c>
      <c r="P7" s="31">
        <f t="shared" ref="P7:P24" si="2">+B7/N7</f>
        <v>13831.097085385876</v>
      </c>
      <c r="Q7" s="31">
        <f t="shared" ref="Q7:Q24" si="3">(B7+C7)/N7</f>
        <v>16044.072619047616</v>
      </c>
      <c r="R7" s="31"/>
      <c r="S7" s="51">
        <v>9229.0499999999993</v>
      </c>
      <c r="T7" s="22"/>
      <c r="U7" s="52">
        <f t="shared" ref="U7:U24" si="4">+B7/N7</f>
        <v>13831.097085385876</v>
      </c>
      <c r="V7" s="52">
        <f t="shared" ref="V7:V29" si="5">+C7/N7</f>
        <v>2212.9755336617404</v>
      </c>
      <c r="W7" s="52">
        <f t="shared" ref="W7:W29" si="6">+E7/N7</f>
        <v>0</v>
      </c>
      <c r="Y7" s="107">
        <f t="shared" ref="Y7:Y24" si="7">+Q7+S7+W7</f>
        <v>25273.122619047615</v>
      </c>
      <c r="Z7" s="107">
        <f t="shared" ref="Z7:Z24" si="8">+Q7+S7+W7-L7</f>
        <v>614.66560392193787</v>
      </c>
      <c r="AB7" s="25">
        <f t="shared" ref="AB7:AB24" si="9">+(F7+G7)/N7</f>
        <v>12045.000207622836</v>
      </c>
      <c r="AC7" s="25">
        <f t="shared" ref="AC7:AC24" si="10">(H7+I7+J7)/N7</f>
        <v>12613.456807502842</v>
      </c>
      <c r="AE7" s="25">
        <f>+F7/$N$7</f>
        <v>27.012128173550586</v>
      </c>
      <c r="AF7" s="25">
        <f t="shared" ref="AF7:AF24" si="11">+G7/N7</f>
        <v>12017.988079449286</v>
      </c>
      <c r="AG7" s="25">
        <f t="shared" ref="AG7:AG24" si="12">+H7/N7</f>
        <v>9507.5659814323608</v>
      </c>
      <c r="AH7" s="25">
        <f t="shared" ref="AH7:AH24" si="13">+I7/N7</f>
        <v>2146.4856593406594</v>
      </c>
      <c r="AI7" s="25">
        <f t="shared" ref="AI7:AI24" si="14">+J7/N7</f>
        <v>959.40516672982176</v>
      </c>
      <c r="AJ7" s="25">
        <f t="shared" ref="AJ7:AJ24" si="15">+K7/N7</f>
        <v>0</v>
      </c>
    </row>
    <row r="8" spans="1:36" ht="15" customHeight="1" x14ac:dyDescent="0.25">
      <c r="A8" s="46">
        <v>46205</v>
      </c>
      <c r="B8" s="52">
        <v>6764656.3499999996</v>
      </c>
      <c r="C8" s="52">
        <f t="shared" si="0"/>
        <v>1082345.0160000001</v>
      </c>
      <c r="D8" s="52">
        <f t="shared" si="1"/>
        <v>3967227.49</v>
      </c>
      <c r="E8" s="51">
        <v>3746.99</v>
      </c>
      <c r="F8" s="51">
        <v>-237.51359999999997</v>
      </c>
      <c r="G8" s="51">
        <v>6362320.2599999998</v>
      </c>
      <c r="H8" s="51">
        <v>3029782.86</v>
      </c>
      <c r="I8" s="51">
        <v>1360648.6137000001</v>
      </c>
      <c r="J8" s="51">
        <v>470774.22210000001</v>
      </c>
      <c r="K8" s="51">
        <v>0</v>
      </c>
      <c r="L8" s="100">
        <f t="shared" ref="L8:L29" si="16">(F8+G8+H8+I8+J8+K8)/N8</f>
        <v>17544.612227919337</v>
      </c>
      <c r="N8" s="101">
        <v>639.70000000000005</v>
      </c>
      <c r="P8" s="31">
        <f t="shared" si="2"/>
        <v>10574.732452712207</v>
      </c>
      <c r="Q8" s="31">
        <f t="shared" si="3"/>
        <v>12266.68964514616</v>
      </c>
      <c r="R8" s="31"/>
      <c r="S8" s="51">
        <v>6201.7</v>
      </c>
      <c r="T8" s="22"/>
      <c r="U8" s="52">
        <f t="shared" si="4"/>
        <v>10574.732452712207</v>
      </c>
      <c r="V8" s="52">
        <f t="shared" si="5"/>
        <v>1691.9571924339534</v>
      </c>
      <c r="W8" s="52">
        <f t="shared" si="6"/>
        <v>5.8574175394716264</v>
      </c>
      <c r="Y8" s="107">
        <f t="shared" si="7"/>
        <v>18474.24706268563</v>
      </c>
      <c r="Z8" s="107">
        <f t="shared" si="8"/>
        <v>929.63483476629335</v>
      </c>
      <c r="AB8" s="25">
        <f t="shared" si="9"/>
        <v>9945.4162050961368</v>
      </c>
      <c r="AC8" s="25">
        <f t="shared" si="10"/>
        <v>7599.1960228231974</v>
      </c>
      <c r="AE8" s="25">
        <f t="shared" ref="AE8:AE24" si="17">+F8/N8</f>
        <v>-0.37128904173831478</v>
      </c>
      <c r="AF8" s="25">
        <f t="shared" si="11"/>
        <v>9945.7874941378759</v>
      </c>
      <c r="AG8" s="25">
        <f t="shared" si="12"/>
        <v>4736.2558386743776</v>
      </c>
      <c r="AH8" s="25">
        <f t="shared" si="13"/>
        <v>2127.0104950758168</v>
      </c>
      <c r="AI8" s="25">
        <f t="shared" si="14"/>
        <v>735.92968907300292</v>
      </c>
      <c r="AJ8" s="25">
        <f t="shared" si="15"/>
        <v>0</v>
      </c>
    </row>
    <row r="9" spans="1:36" ht="15" customHeight="1" x14ac:dyDescent="0.25">
      <c r="A9" s="76">
        <v>46206</v>
      </c>
      <c r="B9" s="52">
        <v>12290607.619999999</v>
      </c>
      <c r="C9" s="52">
        <f t="shared" si="0"/>
        <v>1966497.2191999999</v>
      </c>
      <c r="D9" s="52">
        <f t="shared" si="1"/>
        <v>3751071.0511000003</v>
      </c>
      <c r="E9" s="51">
        <v>391.78</v>
      </c>
      <c r="F9" s="51">
        <v>-6591.0023999999994</v>
      </c>
      <c r="G9" s="51">
        <v>11960746.969999999</v>
      </c>
      <c r="H9" s="51">
        <v>1411721.46</v>
      </c>
      <c r="I9" s="51">
        <v>211854.70889999997</v>
      </c>
      <c r="J9" s="51">
        <v>2523314.7971999999</v>
      </c>
      <c r="K9" s="51">
        <v>0</v>
      </c>
      <c r="L9" s="100">
        <f t="shared" si="16"/>
        <v>24658.172555707002</v>
      </c>
      <c r="N9" s="101">
        <v>652.97</v>
      </c>
      <c r="P9" s="31">
        <f t="shared" si="2"/>
        <v>18822.622203164003</v>
      </c>
      <c r="Q9" s="31">
        <f t="shared" si="3"/>
        <v>21834.241755670242</v>
      </c>
      <c r="R9" s="31"/>
      <c r="S9" s="51">
        <v>5744.63</v>
      </c>
      <c r="T9" s="22"/>
      <c r="U9" s="52">
        <f t="shared" si="4"/>
        <v>18822.622203164003</v>
      </c>
      <c r="V9" s="52">
        <f t="shared" si="5"/>
        <v>3011.6195525062403</v>
      </c>
      <c r="W9" s="52">
        <f t="shared" si="6"/>
        <v>0.59999693707214719</v>
      </c>
      <c r="Y9" s="107">
        <f t="shared" si="7"/>
        <v>27579.471752607315</v>
      </c>
      <c r="Z9" s="107">
        <f t="shared" si="8"/>
        <v>2921.2991969003124</v>
      </c>
      <c r="AB9" s="25">
        <f t="shared" si="9"/>
        <v>18307.358634546763</v>
      </c>
      <c r="AC9" s="25">
        <f t="shared" si="10"/>
        <v>6350.8139211602365</v>
      </c>
      <c r="AE9" s="25">
        <f t="shared" si="17"/>
        <v>-10.093882414199733</v>
      </c>
      <c r="AF9" s="25">
        <f t="shared" si="11"/>
        <v>18317.452516960959</v>
      </c>
      <c r="AG9" s="25">
        <f t="shared" si="12"/>
        <v>2162.0004900684562</v>
      </c>
      <c r="AH9" s="25">
        <f t="shared" si="13"/>
        <v>324.4478443113772</v>
      </c>
      <c r="AI9" s="25">
        <f t="shared" si="14"/>
        <v>3864.3655867804032</v>
      </c>
      <c r="AJ9" s="25">
        <f t="shared" si="15"/>
        <v>0</v>
      </c>
    </row>
    <row r="10" spans="1:36" ht="15" customHeight="1" x14ac:dyDescent="0.25">
      <c r="A10" s="46">
        <v>46209</v>
      </c>
      <c r="B10" s="52">
        <v>8975954.0199999996</v>
      </c>
      <c r="C10" s="52">
        <f t="shared" si="0"/>
        <v>1436152.6432</v>
      </c>
      <c r="D10" s="52">
        <f t="shared" si="1"/>
        <v>6156237.8024999993</v>
      </c>
      <c r="E10" s="51">
        <v>100.06</v>
      </c>
      <c r="F10" s="51">
        <v>39167.477100000004</v>
      </c>
      <c r="G10" s="51">
        <v>7154996.0899999999</v>
      </c>
      <c r="H10" s="51">
        <v>2140591.3199999998</v>
      </c>
      <c r="I10" s="51">
        <v>4388501.6757000005</v>
      </c>
      <c r="J10" s="51">
        <v>1108245.8799000001</v>
      </c>
      <c r="K10" s="51">
        <v>0</v>
      </c>
      <c r="L10" s="100">
        <f t="shared" si="16"/>
        <v>22234.468844464438</v>
      </c>
      <c r="N10" s="101">
        <v>667.05</v>
      </c>
      <c r="P10" s="31">
        <f t="shared" si="2"/>
        <v>13456.193718611799</v>
      </c>
      <c r="Q10" s="31">
        <f t="shared" si="3"/>
        <v>15609.184713589688</v>
      </c>
      <c r="R10" s="31"/>
      <c r="S10" s="51">
        <f>SUM(S6:S7)</f>
        <v>9229.0499999999993</v>
      </c>
      <c r="T10" s="22"/>
      <c r="U10" s="52">
        <f t="shared" si="4"/>
        <v>13456.193718611799</v>
      </c>
      <c r="V10" s="52">
        <f t="shared" si="5"/>
        <v>2152.990994977888</v>
      </c>
      <c r="W10" s="52">
        <f t="shared" si="6"/>
        <v>0.15000374784498915</v>
      </c>
      <c r="Y10" s="107">
        <f t="shared" si="7"/>
        <v>24838.384717337529</v>
      </c>
      <c r="Z10" s="107">
        <f t="shared" si="8"/>
        <v>2603.9158728730908</v>
      </c>
      <c r="AB10" s="25">
        <f t="shared" si="9"/>
        <v>10785.043950378533</v>
      </c>
      <c r="AC10" s="25">
        <f t="shared" si="10"/>
        <v>11449.424894085902</v>
      </c>
      <c r="AE10" s="25">
        <f t="shared" si="17"/>
        <v>58.717453114459197</v>
      </c>
      <c r="AF10" s="25">
        <f t="shared" si="11"/>
        <v>10726.326497264074</v>
      </c>
      <c r="AG10" s="25">
        <f t="shared" si="12"/>
        <v>3209.0417809759388</v>
      </c>
      <c r="AH10" s="25">
        <f t="shared" si="13"/>
        <v>6578.969606026536</v>
      </c>
      <c r="AI10" s="25">
        <f t="shared" si="14"/>
        <v>1661.4135070834272</v>
      </c>
      <c r="AJ10" s="25">
        <f t="shared" si="15"/>
        <v>0</v>
      </c>
    </row>
    <row r="11" spans="1:36" ht="15" customHeight="1" x14ac:dyDescent="0.25">
      <c r="A11" s="46">
        <v>46210</v>
      </c>
      <c r="B11" s="52">
        <v>6969486.4299999997</v>
      </c>
      <c r="C11" s="52">
        <f>+B11*0.16</f>
        <v>1115117.8288</v>
      </c>
      <c r="D11" s="52">
        <f t="shared" si="1"/>
        <v>5136149.8069999991</v>
      </c>
      <c r="E11" s="51">
        <v>607.44000000000005</v>
      </c>
      <c r="F11" s="51">
        <v>-10.36</v>
      </c>
      <c r="G11" s="51">
        <v>6229261.4800000004</v>
      </c>
      <c r="H11" s="51">
        <v>2737344.24</v>
      </c>
      <c r="I11" s="51">
        <v>1980262.2177000002</v>
      </c>
      <c r="J11" s="51">
        <v>693665.89110000001</v>
      </c>
      <c r="K11" s="51">
        <v>16640.796600000001</v>
      </c>
      <c r="L11" s="100">
        <f t="shared" si="16"/>
        <v>17271.664121316287</v>
      </c>
      <c r="N11" s="101">
        <v>674.93</v>
      </c>
      <c r="P11" s="31">
        <f t="shared" si="2"/>
        <v>10326.235950394856</v>
      </c>
      <c r="Q11" s="31">
        <f t="shared" si="3"/>
        <v>11978.433702458033</v>
      </c>
      <c r="R11" s="31"/>
      <c r="S11" s="51">
        <v>7609.9</v>
      </c>
      <c r="T11" s="22"/>
      <c r="U11" s="52">
        <f t="shared" si="4"/>
        <v>10326.235950394856</v>
      </c>
      <c r="V11" s="52">
        <f t="shared" si="5"/>
        <v>1652.1977520631772</v>
      </c>
      <c r="W11" s="52">
        <f t="shared" si="6"/>
        <v>0.90000444490539777</v>
      </c>
      <c r="Y11" s="107">
        <f t="shared" si="7"/>
        <v>19589.233706902938</v>
      </c>
      <c r="Z11" s="107">
        <f t="shared" si="8"/>
        <v>2317.5695855866506</v>
      </c>
      <c r="AB11" s="25">
        <f t="shared" si="9"/>
        <v>9229.477308757947</v>
      </c>
      <c r="AC11" s="25">
        <f t="shared" si="10"/>
        <v>8017.5312236824566</v>
      </c>
      <c r="AE11" s="25">
        <f t="shared" si="17"/>
        <v>-1.5349739973034241E-2</v>
      </c>
      <c r="AF11" s="25">
        <f t="shared" si="11"/>
        <v>9229.4926584979203</v>
      </c>
      <c r="AG11" s="25">
        <f t="shared" si="12"/>
        <v>4055.7453958188262</v>
      </c>
      <c r="AH11" s="25">
        <f t="shared" si="13"/>
        <v>2934.0260733705722</v>
      </c>
      <c r="AI11" s="25">
        <f t="shared" si="14"/>
        <v>1027.7597544930586</v>
      </c>
      <c r="AJ11" s="25">
        <f t="shared" si="15"/>
        <v>24.655588875883428</v>
      </c>
    </row>
    <row r="12" spans="1:36" ht="15" customHeight="1" x14ac:dyDescent="0.25">
      <c r="A12" s="46">
        <v>46211</v>
      </c>
      <c r="B12" s="52">
        <v>6945083.6699999999</v>
      </c>
      <c r="C12" s="52">
        <f t="shared" si="0"/>
        <v>1111213.3872</v>
      </c>
      <c r="D12" s="52">
        <f t="shared" si="1"/>
        <v>2381480.7890000003</v>
      </c>
      <c r="E12" s="51">
        <v>0</v>
      </c>
      <c r="F12" s="51">
        <v>-2709.1395000000002</v>
      </c>
      <c r="G12" s="51">
        <v>7059333.4100000001</v>
      </c>
      <c r="H12" s="51">
        <v>999783.81</v>
      </c>
      <c r="I12" s="51">
        <v>222780.3345</v>
      </c>
      <c r="J12" s="51">
        <v>515025.97470000008</v>
      </c>
      <c r="K12" s="51">
        <v>0</v>
      </c>
      <c r="L12" s="100">
        <f t="shared" si="16"/>
        <v>12820.675845846576</v>
      </c>
      <c r="N12" s="101">
        <v>685.94</v>
      </c>
      <c r="P12" s="31">
        <f t="shared" si="2"/>
        <v>10124.91423448115</v>
      </c>
      <c r="Q12" s="31">
        <f t="shared" si="3"/>
        <v>11744.900511998132</v>
      </c>
      <c r="R12" s="31"/>
      <c r="S12" s="51">
        <v>3471.8500000000004</v>
      </c>
      <c r="T12" s="22"/>
      <c r="U12" s="52">
        <f t="shared" si="4"/>
        <v>10124.91423448115</v>
      </c>
      <c r="V12" s="52">
        <f t="shared" si="5"/>
        <v>1619.9862775169838</v>
      </c>
      <c r="W12" s="52">
        <f t="shared" si="6"/>
        <v>0</v>
      </c>
      <c r="Y12" s="107">
        <f t="shared" si="7"/>
        <v>15216.750511998132</v>
      </c>
      <c r="Z12" s="107">
        <f t="shared" si="8"/>
        <v>2396.0746661515568</v>
      </c>
      <c r="AB12" s="25">
        <f t="shared" si="9"/>
        <v>10287.524084468028</v>
      </c>
      <c r="AC12" s="25">
        <f t="shared" si="10"/>
        <v>2533.1517613785463</v>
      </c>
      <c r="AE12" s="25">
        <f t="shared" si="17"/>
        <v>-3.9495283844067997</v>
      </c>
      <c r="AF12" s="25">
        <f t="shared" si="11"/>
        <v>10291.473612852435</v>
      </c>
      <c r="AG12" s="25">
        <f t="shared" si="12"/>
        <v>1457.5382832317696</v>
      </c>
      <c r="AH12" s="25">
        <f t="shared" si="13"/>
        <v>324.78108070676734</v>
      </c>
      <c r="AI12" s="25">
        <f t="shared" si="14"/>
        <v>750.83239744000934</v>
      </c>
      <c r="AJ12" s="25">
        <f t="shared" si="15"/>
        <v>0</v>
      </c>
    </row>
    <row r="13" spans="1:36" ht="15" customHeight="1" x14ac:dyDescent="0.25">
      <c r="A13" s="46">
        <v>46212</v>
      </c>
      <c r="B13" s="52">
        <v>8489746.8399999999</v>
      </c>
      <c r="C13" s="52">
        <f t="shared" si="0"/>
        <v>1358359.4944</v>
      </c>
      <c r="D13" s="52">
        <f t="shared" si="1"/>
        <v>3681350.6324</v>
      </c>
      <c r="E13" s="51">
        <v>0</v>
      </c>
      <c r="F13" s="51">
        <v>-1647.7505999999998</v>
      </c>
      <c r="G13" s="51">
        <v>6677221.3999999994</v>
      </c>
      <c r="H13" s="51">
        <v>875089.17</v>
      </c>
      <c r="I13" s="51">
        <v>1375263.1224</v>
      </c>
      <c r="J13" s="51">
        <v>1526314.3497000004</v>
      </c>
      <c r="K13" s="51">
        <v>0</v>
      </c>
      <c r="L13" s="100">
        <f t="shared" si="16"/>
        <v>14927.080476850133</v>
      </c>
      <c r="N13" s="101">
        <v>700.22</v>
      </c>
      <c r="P13" s="31">
        <f t="shared" si="2"/>
        <v>12124.399245951272</v>
      </c>
      <c r="Q13" s="31">
        <f t="shared" si="3"/>
        <v>14064.303125303475</v>
      </c>
      <c r="R13" s="31"/>
      <c r="S13" s="51">
        <v>5257.42</v>
      </c>
      <c r="T13" s="22"/>
      <c r="U13" s="52">
        <f t="shared" si="4"/>
        <v>12124.399245951272</v>
      </c>
      <c r="V13" s="52">
        <f t="shared" si="5"/>
        <v>1939.9038793522034</v>
      </c>
      <c r="W13" s="52">
        <f t="shared" si="6"/>
        <v>0</v>
      </c>
      <c r="Y13" s="107">
        <f t="shared" si="7"/>
        <v>19321.723125303477</v>
      </c>
      <c r="Z13" s="107">
        <f t="shared" si="8"/>
        <v>4394.642648453344</v>
      </c>
      <c r="AB13" s="25">
        <f t="shared" si="9"/>
        <v>9533.5375302047923</v>
      </c>
      <c r="AC13" s="25">
        <f t="shared" si="10"/>
        <v>5393.5429466453406</v>
      </c>
      <c r="AE13" s="25">
        <f t="shared" si="17"/>
        <v>-2.3531898546171202</v>
      </c>
      <c r="AF13" s="25">
        <f t="shared" si="11"/>
        <v>9535.8907200594094</v>
      </c>
      <c r="AG13" s="25">
        <f t="shared" si="12"/>
        <v>1249.7346119790923</v>
      </c>
      <c r="AH13" s="25">
        <f t="shared" si="13"/>
        <v>1964.044332352689</v>
      </c>
      <c r="AI13" s="25">
        <f t="shared" si="14"/>
        <v>2179.7640023135591</v>
      </c>
      <c r="AJ13" s="25">
        <f t="shared" si="15"/>
        <v>0</v>
      </c>
    </row>
    <row r="14" spans="1:36" ht="15" customHeight="1" x14ac:dyDescent="0.25">
      <c r="A14" s="76">
        <v>46213</v>
      </c>
      <c r="B14" s="52">
        <v>11691996.66</v>
      </c>
      <c r="C14" s="52">
        <f t="shared" si="0"/>
        <v>1870719.4656</v>
      </c>
      <c r="D14" s="52">
        <f t="shared" si="1"/>
        <v>2490827.3806000003</v>
      </c>
      <c r="E14" s="51">
        <v>0</v>
      </c>
      <c r="F14" s="51">
        <v>-2085.6662999999999</v>
      </c>
      <c r="G14" s="51">
        <v>10229769.74</v>
      </c>
      <c r="H14" s="51">
        <v>1117798.3800000001</v>
      </c>
      <c r="I14" s="51">
        <v>1093928.2632000002</v>
      </c>
      <c r="J14" s="51">
        <v>127886.22900000001</v>
      </c>
      <c r="K14" s="51">
        <v>0</v>
      </c>
      <c r="L14" s="100">
        <f t="shared" si="16"/>
        <v>17708.149961109779</v>
      </c>
      <c r="N14" s="101">
        <v>709.69</v>
      </c>
      <c r="P14" s="31">
        <f t="shared" si="2"/>
        <v>16474.794149558256</v>
      </c>
      <c r="Q14" s="31">
        <f t="shared" si="3"/>
        <v>19110.761213487578</v>
      </c>
      <c r="R14" s="31"/>
      <c r="S14" s="51">
        <v>3509.74</v>
      </c>
      <c r="T14" s="22"/>
      <c r="U14" s="52">
        <f t="shared" si="4"/>
        <v>16474.794149558256</v>
      </c>
      <c r="V14" s="52">
        <f t="shared" si="5"/>
        <v>2635.9670639293208</v>
      </c>
      <c r="W14" s="52">
        <f t="shared" si="6"/>
        <v>0</v>
      </c>
      <c r="Y14" s="107">
        <f t="shared" si="7"/>
        <v>22620.50121348758</v>
      </c>
      <c r="Z14" s="107">
        <f t="shared" si="8"/>
        <v>4912.3512523778008</v>
      </c>
      <c r="AB14" s="25">
        <f t="shared" si="9"/>
        <v>14411.481173047385</v>
      </c>
      <c r="AC14" s="25">
        <f t="shared" si="10"/>
        <v>3296.6687880623931</v>
      </c>
      <c r="AE14" s="25">
        <f t="shared" si="17"/>
        <v>-2.9388413250856003</v>
      </c>
      <c r="AF14" s="25">
        <f t="shared" si="11"/>
        <v>14414.420014372472</v>
      </c>
      <c r="AG14" s="25">
        <f t="shared" si="12"/>
        <v>1575.0516140850232</v>
      </c>
      <c r="AH14" s="25">
        <f t="shared" si="13"/>
        <v>1541.4170457523708</v>
      </c>
      <c r="AI14" s="25">
        <f t="shared" si="14"/>
        <v>180.20012822499964</v>
      </c>
      <c r="AJ14" s="25">
        <f t="shared" si="15"/>
        <v>0</v>
      </c>
    </row>
    <row r="15" spans="1:36" ht="15" customHeight="1" x14ac:dyDescent="0.25">
      <c r="A15" s="46">
        <v>46216</v>
      </c>
      <c r="B15" s="52">
        <v>22682124.02</v>
      </c>
      <c r="C15" s="52">
        <f t="shared" si="0"/>
        <v>3629139.8432</v>
      </c>
      <c r="D15" s="52">
        <f t="shared" si="1"/>
        <v>9139439.5785000008</v>
      </c>
      <c r="E15" s="51">
        <v>373797.7</v>
      </c>
      <c r="F15" s="51">
        <v>-1595.7945</v>
      </c>
      <c r="G15" s="51">
        <v>8376160.4099999983</v>
      </c>
      <c r="H15" s="51">
        <v>14104366.5987</v>
      </c>
      <c r="I15" s="51">
        <v>959918.63670000003</v>
      </c>
      <c r="J15" s="51">
        <v>973746.38160000008</v>
      </c>
      <c r="K15" s="51">
        <v>0</v>
      </c>
      <c r="L15" s="100">
        <f t="shared" si="16"/>
        <v>33842.928165938858</v>
      </c>
      <c r="N15" s="101">
        <v>721.35</v>
      </c>
      <c r="P15" s="31">
        <f t="shared" si="2"/>
        <v>31443.992541761974</v>
      </c>
      <c r="Q15" s="31">
        <f t="shared" si="3"/>
        <v>36475.031348443888</v>
      </c>
      <c r="R15" s="31"/>
      <c r="S15" s="51">
        <v>12669.91</v>
      </c>
      <c r="T15" s="22"/>
      <c r="U15" s="52">
        <f t="shared" si="4"/>
        <v>31443.992541761974</v>
      </c>
      <c r="V15" s="52">
        <f t="shared" si="5"/>
        <v>5031.038806681916</v>
      </c>
      <c r="W15" s="52">
        <f t="shared" si="6"/>
        <v>518.19186248007213</v>
      </c>
      <c r="Y15" s="107">
        <f t="shared" si="7"/>
        <v>49663.133210923959</v>
      </c>
      <c r="Z15" s="107">
        <f t="shared" si="8"/>
        <v>15820.205044985101</v>
      </c>
      <c r="AB15" s="25">
        <f t="shared" si="9"/>
        <v>11609.571796631313</v>
      </c>
      <c r="AC15" s="25">
        <f t="shared" si="10"/>
        <v>22233.356369307548</v>
      </c>
      <c r="AE15" s="25">
        <f t="shared" si="17"/>
        <v>-2.2122333125389892</v>
      </c>
      <c r="AF15" s="25">
        <f t="shared" si="11"/>
        <v>11611.784029943852</v>
      </c>
      <c r="AG15" s="25">
        <f t="shared" si="12"/>
        <v>19552.736672489082</v>
      </c>
      <c r="AH15" s="25">
        <f t="shared" si="13"/>
        <v>1330.7252189644416</v>
      </c>
      <c r="AI15" s="25">
        <f t="shared" si="14"/>
        <v>1349.8944778540238</v>
      </c>
      <c r="AJ15" s="25">
        <f t="shared" si="15"/>
        <v>0</v>
      </c>
    </row>
    <row r="16" spans="1:36" ht="15" customHeight="1" x14ac:dyDescent="0.25">
      <c r="A16" s="46">
        <v>46217</v>
      </c>
      <c r="B16" s="52">
        <v>18021337.289999999</v>
      </c>
      <c r="C16" s="52">
        <f t="shared" si="0"/>
        <v>2883413.9663999998</v>
      </c>
      <c r="D16" s="52">
        <f t="shared" si="1"/>
        <v>4774280.4399999995</v>
      </c>
      <c r="E16" s="51">
        <v>0</v>
      </c>
      <c r="F16" s="51">
        <v>-7949.283300000001</v>
      </c>
      <c r="G16" s="51">
        <v>16012803.899999999</v>
      </c>
      <c r="H16" s="51">
        <v>1920891.24</v>
      </c>
      <c r="I16" s="51">
        <v>1397960.5158000002</v>
      </c>
      <c r="J16" s="51">
        <v>2069864.2233000002</v>
      </c>
      <c r="K16" s="51">
        <v>0</v>
      </c>
      <c r="L16" s="100">
        <f t="shared" si="16"/>
        <v>29549.130657182315</v>
      </c>
      <c r="N16" s="101">
        <v>724</v>
      </c>
      <c r="P16" s="31">
        <f t="shared" si="2"/>
        <v>24891.349848066297</v>
      </c>
      <c r="Q16" s="31">
        <f t="shared" si="3"/>
        <v>28873.965823756906</v>
      </c>
      <c r="R16" s="31"/>
      <c r="S16" s="51">
        <v>6594.3099999999995</v>
      </c>
      <c r="T16" s="22"/>
      <c r="U16" s="52">
        <f t="shared" si="4"/>
        <v>24891.349848066297</v>
      </c>
      <c r="V16" s="52">
        <f t="shared" si="5"/>
        <v>3982.6159756906077</v>
      </c>
      <c r="W16" s="52">
        <f t="shared" si="6"/>
        <v>0</v>
      </c>
      <c r="Y16" s="107">
        <f t="shared" si="7"/>
        <v>35468.275823756907</v>
      </c>
      <c r="Z16" s="107">
        <f t="shared" si="8"/>
        <v>5919.1451665745917</v>
      </c>
      <c r="AB16" s="25">
        <f t="shared" si="9"/>
        <v>22106.152785497237</v>
      </c>
      <c r="AC16" s="25">
        <f t="shared" si="10"/>
        <v>7442.9778716850833</v>
      </c>
      <c r="AE16" s="25">
        <f t="shared" si="17"/>
        <v>-10.979673066298345</v>
      </c>
      <c r="AF16" s="25">
        <f t="shared" si="11"/>
        <v>22117.132458563534</v>
      </c>
      <c r="AG16" s="25">
        <f t="shared" si="12"/>
        <v>2653.1646961325969</v>
      </c>
      <c r="AH16" s="25">
        <f t="shared" si="13"/>
        <v>1930.884690331492</v>
      </c>
      <c r="AI16" s="25">
        <f t="shared" si="14"/>
        <v>2858.9284852209948</v>
      </c>
      <c r="AJ16" s="25">
        <f t="shared" si="15"/>
        <v>0</v>
      </c>
    </row>
    <row r="17" spans="1:36" ht="15" customHeight="1" x14ac:dyDescent="0.25">
      <c r="A17" s="46">
        <v>46218</v>
      </c>
      <c r="B17" s="52">
        <v>6540811.1600000001</v>
      </c>
      <c r="C17" s="52">
        <f t="shared" si="0"/>
        <v>1046529.7856000001</v>
      </c>
      <c r="D17" s="52">
        <f t="shared" si="1"/>
        <v>4292608.04</v>
      </c>
      <c r="E17" s="51">
        <v>0</v>
      </c>
      <c r="F17" s="51">
        <v>-7578.1683000000012</v>
      </c>
      <c r="G17" s="51">
        <v>6504336.8799999999</v>
      </c>
      <c r="H17" s="51">
        <v>1235812.95</v>
      </c>
      <c r="I17" s="51">
        <v>289722.05819999997</v>
      </c>
      <c r="J17" s="51">
        <v>3734025.5285999998</v>
      </c>
      <c r="K17" s="51">
        <v>0</v>
      </c>
      <c r="L17" s="100">
        <f t="shared" si="16"/>
        <v>16198.855320013779</v>
      </c>
      <c r="N17" s="101">
        <v>725.75</v>
      </c>
      <c r="P17" s="31">
        <f t="shared" si="2"/>
        <v>9012.4852359627967</v>
      </c>
      <c r="Q17" s="31">
        <f t="shared" si="3"/>
        <v>10454.482873716845</v>
      </c>
      <c r="R17" s="31"/>
      <c r="S17" s="51">
        <v>5914.72</v>
      </c>
      <c r="T17" s="22"/>
      <c r="U17" s="52">
        <f t="shared" si="4"/>
        <v>9012.4852359627967</v>
      </c>
      <c r="V17" s="52">
        <f t="shared" si="5"/>
        <v>1441.9976377540477</v>
      </c>
      <c r="W17" s="52">
        <f t="shared" si="6"/>
        <v>0</v>
      </c>
      <c r="Y17" s="107">
        <f t="shared" si="7"/>
        <v>16369.202873716844</v>
      </c>
      <c r="Z17" s="107">
        <f t="shared" si="8"/>
        <v>170.34755370306448</v>
      </c>
      <c r="AB17" s="25">
        <f t="shared" si="9"/>
        <v>8951.7860305890463</v>
      </c>
      <c r="AC17" s="25">
        <f t="shared" si="10"/>
        <v>7247.0692894247331</v>
      </c>
      <c r="AE17" s="25">
        <f t="shared" si="17"/>
        <v>-10.441844023424046</v>
      </c>
      <c r="AF17" s="25">
        <f t="shared" si="11"/>
        <v>8962.2278746124703</v>
      </c>
      <c r="AG17" s="25">
        <f t="shared" si="12"/>
        <v>1702.8080606269375</v>
      </c>
      <c r="AH17" s="25">
        <f t="shared" si="13"/>
        <v>399.20366269376501</v>
      </c>
      <c r="AI17" s="25">
        <f t="shared" si="14"/>
        <v>5145.0575661040302</v>
      </c>
      <c r="AJ17" s="25">
        <f t="shared" si="15"/>
        <v>0</v>
      </c>
    </row>
    <row r="18" spans="1:36" ht="15" customHeight="1" x14ac:dyDescent="0.25">
      <c r="A18" s="46">
        <v>46219</v>
      </c>
      <c r="B18" s="52">
        <v>10276380.77</v>
      </c>
      <c r="C18" s="52">
        <f t="shared" si="0"/>
        <v>1644220.9232000001</v>
      </c>
      <c r="D18" s="52">
        <f t="shared" si="1"/>
        <v>8930212.5724999998</v>
      </c>
      <c r="E18" s="51">
        <v>0</v>
      </c>
      <c r="F18" s="51">
        <v>-5091.6977999999999</v>
      </c>
      <c r="G18" s="51">
        <v>7194105.7000000002</v>
      </c>
      <c r="H18" s="51">
        <v>5480626.3200000003</v>
      </c>
      <c r="I18" s="51">
        <v>1367365.7952000001</v>
      </c>
      <c r="J18" s="51">
        <v>2412366.2568000001</v>
      </c>
      <c r="K18" s="51">
        <v>0</v>
      </c>
      <c r="L18" s="100">
        <f t="shared" si="16"/>
        <v>22612.375248058284</v>
      </c>
      <c r="N18" s="101">
        <v>727.45</v>
      </c>
      <c r="P18" s="31">
        <f t="shared" si="2"/>
        <v>14126.580204825072</v>
      </c>
      <c r="Q18" s="31">
        <f t="shared" si="3"/>
        <v>16386.833037597084</v>
      </c>
      <c r="R18" s="31"/>
      <c r="S18" s="51">
        <v>12276.05</v>
      </c>
      <c r="T18" s="22"/>
      <c r="U18" s="52">
        <f t="shared" si="4"/>
        <v>14126.580204825072</v>
      </c>
      <c r="V18" s="52">
        <f t="shared" si="5"/>
        <v>2260.252832772012</v>
      </c>
      <c r="W18" s="52">
        <f t="shared" si="6"/>
        <v>0</v>
      </c>
      <c r="Y18" s="107">
        <f t="shared" si="7"/>
        <v>28662.883037597083</v>
      </c>
      <c r="Z18" s="107">
        <f t="shared" si="8"/>
        <v>6050.5077895387985</v>
      </c>
      <c r="AB18" s="25">
        <f t="shared" si="9"/>
        <v>9882.4853972094297</v>
      </c>
      <c r="AC18" s="25">
        <f t="shared" si="10"/>
        <v>12729.889850848855</v>
      </c>
      <c r="AE18" s="25">
        <f t="shared" si="17"/>
        <v>-6.9993783765207223</v>
      </c>
      <c r="AF18" s="25">
        <f t="shared" si="11"/>
        <v>9889.48477558595</v>
      </c>
      <c r="AG18" s="25">
        <f t="shared" si="12"/>
        <v>7534.0247714619563</v>
      </c>
      <c r="AH18" s="25">
        <f t="shared" si="13"/>
        <v>1879.6697988865214</v>
      </c>
      <c r="AI18" s="25">
        <f t="shared" si="14"/>
        <v>3316.195280500378</v>
      </c>
      <c r="AJ18" s="25">
        <f t="shared" si="15"/>
        <v>0</v>
      </c>
    </row>
    <row r="19" spans="1:36" ht="15" customHeight="1" x14ac:dyDescent="0.25">
      <c r="A19" s="76">
        <v>46220</v>
      </c>
      <c r="B19" s="52">
        <v>6374960.6600000001</v>
      </c>
      <c r="C19" s="52">
        <f t="shared" si="0"/>
        <v>1019993.7056000001</v>
      </c>
      <c r="D19" s="52">
        <f t="shared" si="1"/>
        <v>6990115.2384000001</v>
      </c>
      <c r="E19" s="51">
        <v>1098.72</v>
      </c>
      <c r="F19" s="51">
        <v>7038.5670899999996</v>
      </c>
      <c r="G19" s="51">
        <v>4523899.4399999995</v>
      </c>
      <c r="H19" s="51">
        <v>2234854.5300000003</v>
      </c>
      <c r="I19" s="51">
        <v>1704293.6813999999</v>
      </c>
      <c r="J19" s="51">
        <v>3001340.6064000004</v>
      </c>
      <c r="K19" s="51">
        <v>0</v>
      </c>
      <c r="L19" s="100">
        <f t="shared" si="16"/>
        <v>15661.078561721821</v>
      </c>
      <c r="N19" s="101">
        <v>732.48</v>
      </c>
      <c r="P19" s="31">
        <f t="shared" si="2"/>
        <v>8703.255597422456</v>
      </c>
      <c r="Q19" s="31">
        <f t="shared" si="3"/>
        <v>10095.776493010047</v>
      </c>
      <c r="R19" s="31"/>
      <c r="S19" s="51">
        <v>9543.08</v>
      </c>
      <c r="T19" s="22"/>
      <c r="U19" s="52">
        <f t="shared" si="4"/>
        <v>8703.255597422456</v>
      </c>
      <c r="V19" s="52">
        <f t="shared" si="5"/>
        <v>1392.520895587593</v>
      </c>
      <c r="W19" s="52">
        <f t="shared" si="6"/>
        <v>1.5</v>
      </c>
      <c r="Y19" s="107">
        <f t="shared" si="7"/>
        <v>19640.356493010047</v>
      </c>
      <c r="Z19" s="107">
        <f t="shared" si="8"/>
        <v>3979.2779312882267</v>
      </c>
      <c r="AB19" s="25">
        <f t="shared" si="9"/>
        <v>6185.7497912434465</v>
      </c>
      <c r="AC19" s="25">
        <f t="shared" si="10"/>
        <v>9475.3287704783743</v>
      </c>
      <c r="AE19" s="25">
        <f t="shared" si="17"/>
        <v>9.6092276785714272</v>
      </c>
      <c r="AF19" s="25">
        <f t="shared" si="11"/>
        <v>6176.1405635648744</v>
      </c>
      <c r="AG19" s="25">
        <f t="shared" si="12"/>
        <v>3051.0792513106162</v>
      </c>
      <c r="AH19" s="25">
        <f t="shared" si="13"/>
        <v>2326.74432257536</v>
      </c>
      <c r="AI19" s="25">
        <f t="shared" si="14"/>
        <v>4097.5051965923985</v>
      </c>
      <c r="AJ19" s="25">
        <f t="shared" si="15"/>
        <v>0</v>
      </c>
    </row>
    <row r="20" spans="1:36" ht="12.75" customHeight="1" x14ac:dyDescent="0.25">
      <c r="A20" s="46">
        <v>46223</v>
      </c>
      <c r="B20" s="52">
        <v>9900725.5500000007</v>
      </c>
      <c r="C20" s="52">
        <f t="shared" si="0"/>
        <v>1584116.0880000002</v>
      </c>
      <c r="D20" s="52">
        <f t="shared" si="1"/>
        <v>5814090.2972999997</v>
      </c>
      <c r="E20" s="51">
        <v>0</v>
      </c>
      <c r="F20" s="51">
        <v>-1462.1931</v>
      </c>
      <c r="G20" s="51">
        <v>7617639.6099999994</v>
      </c>
      <c r="H20" s="51">
        <v>1948353.75</v>
      </c>
      <c r="I20" s="51">
        <v>1023204.1354200001</v>
      </c>
      <c r="J20" s="51">
        <v>2808108.4482</v>
      </c>
      <c r="K20" s="51">
        <v>42232.887000000002</v>
      </c>
      <c r="L20" s="100">
        <f t="shared" si="16"/>
        <v>18235.214521759193</v>
      </c>
      <c r="N20" s="101">
        <v>736.93</v>
      </c>
      <c r="P20" s="31">
        <f t="shared" si="2"/>
        <v>13435.0963456502</v>
      </c>
      <c r="Q20" s="31">
        <f t="shared" si="3"/>
        <v>15584.711760954231</v>
      </c>
      <c r="R20" s="31"/>
      <c r="S20" s="51">
        <v>7889.6100000000006</v>
      </c>
      <c r="T20" s="22"/>
      <c r="U20" s="52">
        <f t="shared" si="4"/>
        <v>13435.0963456502</v>
      </c>
      <c r="V20" s="52">
        <f t="shared" si="5"/>
        <v>2149.615415304032</v>
      </c>
      <c r="W20" s="52">
        <f t="shared" si="6"/>
        <v>0</v>
      </c>
      <c r="Y20" s="107">
        <f t="shared" si="7"/>
        <v>23474.321760954233</v>
      </c>
      <c r="Z20" s="107">
        <f t="shared" si="8"/>
        <v>5239.1072391950402</v>
      </c>
      <c r="AB20" s="25">
        <f t="shared" si="9"/>
        <v>10335.007961271764</v>
      </c>
      <c r="AC20" s="25">
        <f t="shared" si="10"/>
        <v>7842.8973357306677</v>
      </c>
      <c r="AE20" s="25">
        <f t="shared" si="17"/>
        <v>-1.9841682385029786</v>
      </c>
      <c r="AF20" s="25">
        <f t="shared" si="11"/>
        <v>10336.992129510265</v>
      </c>
      <c r="AG20" s="25">
        <f t="shared" si="12"/>
        <v>2643.8789980052379</v>
      </c>
      <c r="AH20" s="25">
        <f t="shared" si="13"/>
        <v>1388.468559320424</v>
      </c>
      <c r="AI20" s="25">
        <f t="shared" si="14"/>
        <v>3810.5497784050049</v>
      </c>
      <c r="AJ20" s="25">
        <f t="shared" si="15"/>
        <v>57.309224756761168</v>
      </c>
    </row>
    <row r="21" spans="1:36" ht="15" customHeight="1" x14ac:dyDescent="0.25">
      <c r="A21" s="46">
        <v>46224</v>
      </c>
      <c r="B21" s="52">
        <v>15377672.640000001</v>
      </c>
      <c r="C21" s="52">
        <f t="shared" si="0"/>
        <v>2460427.6224000002</v>
      </c>
      <c r="D21" s="52">
        <f t="shared" si="1"/>
        <v>7407635.4339000005</v>
      </c>
      <c r="E21" s="51">
        <v>1150.08</v>
      </c>
      <c r="F21" s="51">
        <v>-1358.2809</v>
      </c>
      <c r="G21" s="51">
        <v>12524265.899999999</v>
      </c>
      <c r="H21" s="51">
        <v>2278646.1</v>
      </c>
      <c r="I21" s="51">
        <v>549242.77769999998</v>
      </c>
      <c r="J21" s="51">
        <v>1473267.1716</v>
      </c>
      <c r="K21" s="51">
        <v>0</v>
      </c>
      <c r="L21" s="100">
        <f t="shared" si="16"/>
        <v>22820.644396457003</v>
      </c>
      <c r="N21" s="101">
        <v>737.23</v>
      </c>
      <c r="P21" s="31">
        <f t="shared" si="2"/>
        <v>20858.717957760808</v>
      </c>
      <c r="Q21" s="31">
        <f t="shared" si="3"/>
        <v>24196.112831002538</v>
      </c>
      <c r="R21" s="31"/>
      <c r="S21" s="51">
        <v>10047.93</v>
      </c>
      <c r="T21" s="22"/>
      <c r="U21" s="52">
        <f t="shared" si="4"/>
        <v>20858.717957760808</v>
      </c>
      <c r="V21" s="52">
        <f t="shared" si="5"/>
        <v>3337.3948732417293</v>
      </c>
      <c r="W21" s="52">
        <f t="shared" si="6"/>
        <v>1.560001627714553</v>
      </c>
      <c r="Y21" s="107">
        <f t="shared" si="7"/>
        <v>34245.602832630255</v>
      </c>
      <c r="Z21" s="107">
        <f t="shared" si="8"/>
        <v>11424.958436173252</v>
      </c>
      <c r="AB21" s="25">
        <f t="shared" si="9"/>
        <v>16986.432482535976</v>
      </c>
      <c r="AC21" s="25">
        <f t="shared" si="10"/>
        <v>5834.211913921029</v>
      </c>
      <c r="AE21" s="25">
        <f t="shared" si="17"/>
        <v>-1.8424113234675745</v>
      </c>
      <c r="AF21" s="25">
        <f t="shared" si="11"/>
        <v>16988.274893859445</v>
      </c>
      <c r="AG21" s="25">
        <f t="shared" si="12"/>
        <v>3090.8211819920512</v>
      </c>
      <c r="AH21" s="25">
        <f t="shared" si="13"/>
        <v>745.00871871736092</v>
      </c>
      <c r="AI21" s="25">
        <f t="shared" si="14"/>
        <v>1998.3820132116164</v>
      </c>
      <c r="AJ21" s="25">
        <f t="shared" si="15"/>
        <v>0</v>
      </c>
    </row>
    <row r="22" spans="1:36" ht="15" customHeight="1" x14ac:dyDescent="0.25">
      <c r="A22" s="46">
        <v>46225</v>
      </c>
      <c r="B22" s="52">
        <v>11406800.503448276</v>
      </c>
      <c r="C22" s="52">
        <f t="shared" si="0"/>
        <v>1825088.0805517242</v>
      </c>
      <c r="D22" s="52">
        <f t="shared" si="1"/>
        <v>6250936.3085000003</v>
      </c>
      <c r="E22" s="51">
        <v>36759.839999999997</v>
      </c>
      <c r="F22" s="51">
        <v>0</v>
      </c>
      <c r="G22" s="51">
        <v>6796648.71</v>
      </c>
      <c r="H22" s="51">
        <v>1856317.23</v>
      </c>
      <c r="I22" s="51">
        <v>1351682.4753</v>
      </c>
      <c r="J22" s="51">
        <v>2849124.0780000002</v>
      </c>
      <c r="K22" s="51">
        <v>0</v>
      </c>
      <c r="L22" s="100">
        <f t="shared" si="16"/>
        <v>17435.227124913526</v>
      </c>
      <c r="N22" s="101">
        <v>737.23</v>
      </c>
      <c r="P22" s="31">
        <f t="shared" si="2"/>
        <v>15472.512653375847</v>
      </c>
      <c r="Q22" s="31">
        <f t="shared" si="3"/>
        <v>17948.114677915983</v>
      </c>
      <c r="R22" s="31"/>
      <c r="S22" s="51">
        <v>8478.9500000000007</v>
      </c>
      <c r="T22" s="22"/>
      <c r="U22" s="52">
        <f t="shared" si="4"/>
        <v>15472.512653375847</v>
      </c>
      <c r="V22" s="52">
        <f t="shared" si="5"/>
        <v>2475.6020245401355</v>
      </c>
      <c r="W22" s="52">
        <f t="shared" si="6"/>
        <v>49.862105448774457</v>
      </c>
      <c r="Y22" s="107">
        <f t="shared" si="7"/>
        <v>26476.926783364757</v>
      </c>
      <c r="Z22" s="107">
        <f t="shared" si="8"/>
        <v>9041.6996584512308</v>
      </c>
      <c r="AB22" s="25">
        <f t="shared" si="9"/>
        <v>9219.1700147850734</v>
      </c>
      <c r="AC22" s="25">
        <f t="shared" si="10"/>
        <v>8216.0571101284531</v>
      </c>
      <c r="AE22" s="25">
        <f t="shared" si="17"/>
        <v>0</v>
      </c>
      <c r="AF22" s="25">
        <f t="shared" si="11"/>
        <v>9219.1700147850734</v>
      </c>
      <c r="AG22" s="25">
        <f t="shared" si="12"/>
        <v>2517.962142072352</v>
      </c>
      <c r="AH22" s="25">
        <f t="shared" si="13"/>
        <v>1833.4610302076692</v>
      </c>
      <c r="AI22" s="25">
        <f t="shared" si="14"/>
        <v>3864.6339378484327</v>
      </c>
      <c r="AJ22" s="25">
        <f t="shared" si="15"/>
        <v>0</v>
      </c>
    </row>
    <row r="23" spans="1:36" ht="15" customHeight="1" x14ac:dyDescent="0.25">
      <c r="A23" s="46">
        <v>46226</v>
      </c>
      <c r="B23" s="52">
        <v>11559297.575172409</v>
      </c>
      <c r="C23" s="52">
        <f t="shared" si="0"/>
        <v>1849487.6120275855</v>
      </c>
      <c r="D23" s="52">
        <f t="shared" si="1"/>
        <v>7231880.7131999992</v>
      </c>
      <c r="E23" s="51">
        <v>0</v>
      </c>
      <c r="F23" s="51">
        <v>170.71290000000002</v>
      </c>
      <c r="G23" s="51">
        <v>11930434.489999998</v>
      </c>
      <c r="H23" s="51">
        <v>759301.29</v>
      </c>
      <c r="I23" s="51">
        <v>499498.52310000005</v>
      </c>
      <c r="J23" s="51">
        <v>3894673.7898000004</v>
      </c>
      <c r="K23" s="51">
        <v>50471.64</v>
      </c>
      <c r="L23" s="100">
        <f>(F23+G23+H23+I23+J23+K23)/N23</f>
        <v>23221.323854556296</v>
      </c>
      <c r="N23" s="101">
        <v>737.88</v>
      </c>
      <c r="P23" s="31">
        <f t="shared" si="2"/>
        <v>15665.552088649116</v>
      </c>
      <c r="Q23" s="31">
        <f t="shared" si="3"/>
        <v>18172.040422832975</v>
      </c>
      <c r="R23" s="31"/>
      <c r="S23" s="51">
        <v>9800.89</v>
      </c>
      <c r="T23" s="22"/>
      <c r="U23" s="52">
        <f t="shared" si="4"/>
        <v>15665.552088649116</v>
      </c>
      <c r="V23" s="52">
        <f t="shared" si="5"/>
        <v>2506.4883341838586</v>
      </c>
      <c r="W23" s="52">
        <f t="shared" si="6"/>
        <v>0</v>
      </c>
      <c r="Y23" s="107">
        <f t="shared" si="7"/>
        <v>27972.930422832975</v>
      </c>
      <c r="Z23" s="107">
        <f t="shared" si="8"/>
        <v>4751.6065682766784</v>
      </c>
      <c r="AB23" s="25">
        <f t="shared" si="9"/>
        <v>16168.760778039787</v>
      </c>
      <c r="AC23" s="25">
        <f t="shared" si="10"/>
        <v>6984.1621983249315</v>
      </c>
      <c r="AE23" s="25">
        <f t="shared" si="17"/>
        <v>0.23135591153033017</v>
      </c>
      <c r="AF23" s="25">
        <f t="shared" si="11"/>
        <v>16168.529422128257</v>
      </c>
      <c r="AG23" s="25">
        <f t="shared" si="12"/>
        <v>1029.0308586762076</v>
      </c>
      <c r="AH23" s="25">
        <f t="shared" si="13"/>
        <v>676.93733818507087</v>
      </c>
      <c r="AI23" s="25">
        <f t="shared" si="14"/>
        <v>5278.194001463653</v>
      </c>
      <c r="AJ23" s="25">
        <f t="shared" si="15"/>
        <v>68.40087819157587</v>
      </c>
    </row>
    <row r="24" spans="1:36" ht="15" customHeight="1" x14ac:dyDescent="0.25">
      <c r="A24" s="76">
        <v>46227</v>
      </c>
      <c r="B24" s="52">
        <v>3835425.09</v>
      </c>
      <c r="C24" s="52">
        <f t="shared" si="0"/>
        <v>613668.01439999999</v>
      </c>
      <c r="D24" s="52">
        <f t="shared" si="1"/>
        <v>5965354.4660999998</v>
      </c>
      <c r="E24" s="51">
        <v>0</v>
      </c>
      <c r="F24" s="51">
        <v>0</v>
      </c>
      <c r="G24" s="51">
        <v>3189821.37</v>
      </c>
      <c r="H24" s="51">
        <v>390412.98</v>
      </c>
      <c r="I24" s="51">
        <v>1781730.5373000002</v>
      </c>
      <c r="J24" s="51">
        <v>3786352.7435999997</v>
      </c>
      <c r="K24" s="51">
        <v>0</v>
      </c>
      <c r="L24" s="100">
        <f t="shared" si="16"/>
        <v>12325.448487530817</v>
      </c>
      <c r="N24" s="101">
        <v>742.23</v>
      </c>
      <c r="P24" s="31">
        <f t="shared" si="2"/>
        <v>5167.434743947294</v>
      </c>
      <c r="Q24" s="31">
        <f t="shared" si="3"/>
        <v>5994.2243029788606</v>
      </c>
      <c r="R24" s="31"/>
      <c r="S24" s="51">
        <v>8037.07</v>
      </c>
      <c r="T24" s="22"/>
      <c r="U24" s="52">
        <f t="shared" si="4"/>
        <v>5167.434743947294</v>
      </c>
      <c r="V24" s="52">
        <f t="shared" si="5"/>
        <v>826.78955903156702</v>
      </c>
      <c r="W24" s="52">
        <f t="shared" si="6"/>
        <v>0</v>
      </c>
      <c r="Y24" s="107">
        <f t="shared" si="7"/>
        <v>14031.29430297886</v>
      </c>
      <c r="Z24" s="107">
        <f t="shared" si="8"/>
        <v>1705.8458154480431</v>
      </c>
      <c r="AB24" s="25">
        <f t="shared" si="9"/>
        <v>4297.618487530819</v>
      </c>
      <c r="AC24" s="25">
        <f t="shared" si="10"/>
        <v>8027.83</v>
      </c>
      <c r="AE24" s="25">
        <f t="shared" si="17"/>
        <v>0</v>
      </c>
      <c r="AF24" s="25">
        <f t="shared" si="11"/>
        <v>4297.618487530819</v>
      </c>
      <c r="AG24" s="25">
        <f t="shared" si="12"/>
        <v>526</v>
      </c>
      <c r="AH24" s="25">
        <f t="shared" si="13"/>
        <v>2400.5100000000002</v>
      </c>
      <c r="AI24" s="25">
        <f t="shared" si="14"/>
        <v>5101.32</v>
      </c>
      <c r="AJ24" s="25">
        <f t="shared" si="15"/>
        <v>0</v>
      </c>
    </row>
    <row r="25" spans="1:36" ht="15" customHeight="1" x14ac:dyDescent="0.25">
      <c r="A25" s="46">
        <v>46230</v>
      </c>
      <c r="B25" s="52">
        <v>9637108.8879310358</v>
      </c>
      <c r="C25" s="52">
        <f t="shared" si="0"/>
        <v>1541937.4220689659</v>
      </c>
      <c r="D25" s="52">
        <f t="shared" si="1"/>
        <v>5438853.6156000001</v>
      </c>
      <c r="E25" s="51">
        <v>2063.62</v>
      </c>
      <c r="F25" s="51">
        <v>779.3415</v>
      </c>
      <c r="G25" s="51">
        <v>8825520.8900000006</v>
      </c>
      <c r="H25" s="51">
        <v>2168053.83</v>
      </c>
      <c r="I25" s="51">
        <v>468703.40040000004</v>
      </c>
      <c r="J25" s="51">
        <v>2158070.8365000002</v>
      </c>
      <c r="K25" s="51">
        <v>277052.19209999999</v>
      </c>
      <c r="L25" s="100">
        <f t="shared" si="16"/>
        <v>18724.897256241326</v>
      </c>
      <c r="N25" s="101">
        <v>742.23</v>
      </c>
      <c r="P25" s="31">
        <f t="shared" ref="P25" si="18">+B25/N25</f>
        <v>12983.992681420901</v>
      </c>
      <c r="Q25" s="31">
        <f t="shared" ref="Q25" si="19">(B25+C25)/N25</f>
        <v>15061.431510448247</v>
      </c>
      <c r="R25" s="31"/>
      <c r="S25" s="51">
        <v>7327.72</v>
      </c>
      <c r="T25" s="22"/>
      <c r="U25" s="52"/>
      <c r="V25" s="52">
        <f t="shared" si="5"/>
        <v>2077.4388290273446</v>
      </c>
      <c r="W25" s="52">
        <f t="shared" si="6"/>
        <v>2.7802972124543603</v>
      </c>
      <c r="Y25" s="107"/>
      <c r="Z25" s="107"/>
      <c r="AB25" s="25"/>
      <c r="AC25" s="25"/>
      <c r="AE25" s="25"/>
      <c r="AF25" s="25"/>
      <c r="AG25" s="25"/>
      <c r="AH25" s="25"/>
      <c r="AI25" s="25"/>
      <c r="AJ25" s="25"/>
    </row>
    <row r="26" spans="1:36" ht="15" customHeight="1" x14ac:dyDescent="0.25">
      <c r="A26" s="46">
        <v>46231</v>
      </c>
      <c r="B26" s="52">
        <v>10767261.137931036</v>
      </c>
      <c r="C26" s="52">
        <f t="shared" si="0"/>
        <v>1722761.7820689657</v>
      </c>
      <c r="D26" s="52">
        <f t="shared" si="1"/>
        <v>4011857.3851999999</v>
      </c>
      <c r="E26" s="51">
        <v>0</v>
      </c>
      <c r="F26" s="51">
        <v>11415.4974</v>
      </c>
      <c r="G26" s="51">
        <v>9026472.5800000001</v>
      </c>
      <c r="H26" s="51">
        <v>1760569.56</v>
      </c>
      <c r="I26" s="51">
        <v>821990.03580000007</v>
      </c>
      <c r="J26" s="51">
        <v>1424443.2822</v>
      </c>
      <c r="K26" s="51">
        <v>0</v>
      </c>
      <c r="L26" s="100">
        <f>(F26+G26+H26+I26+J26+K26)/N26</f>
        <v>17561.544614908256</v>
      </c>
      <c r="N26" s="101">
        <v>742.81</v>
      </c>
      <c r="P26" s="31">
        <f t="shared" ref="P26:P29" si="20">+B26/N26</f>
        <v>14495.309888034675</v>
      </c>
      <c r="Q26" s="31">
        <f>(B26+C26)/N26</f>
        <v>16814.559470120224</v>
      </c>
      <c r="R26" s="31"/>
      <c r="S26" s="51">
        <v>5400.92</v>
      </c>
      <c r="T26" s="22"/>
      <c r="U26" s="52"/>
      <c r="V26" s="52">
        <f t="shared" si="5"/>
        <v>2319.2495820855479</v>
      </c>
      <c r="W26" s="52">
        <f t="shared" si="6"/>
        <v>0</v>
      </c>
      <c r="Y26" s="107"/>
      <c r="Z26" s="107"/>
      <c r="AB26" s="25"/>
      <c r="AC26" s="25"/>
      <c r="AE26" s="25"/>
      <c r="AF26" s="25"/>
      <c r="AG26" s="25"/>
      <c r="AH26" s="25"/>
      <c r="AI26" s="25"/>
      <c r="AJ26" s="25"/>
    </row>
    <row r="27" spans="1:36" ht="15" customHeight="1" x14ac:dyDescent="0.25">
      <c r="A27" s="46">
        <v>46232</v>
      </c>
      <c r="B27" s="52">
        <v>8972038.0824137926</v>
      </c>
      <c r="C27" s="52">
        <f t="shared" si="0"/>
        <v>1435526.0931862069</v>
      </c>
      <c r="D27" s="52">
        <f t="shared" si="1"/>
        <v>14357574.104200002</v>
      </c>
      <c r="E27" s="51">
        <v>1562.86</v>
      </c>
      <c r="F27" s="51">
        <v>-3057.9875999999999</v>
      </c>
      <c r="G27" s="51">
        <v>7193171.8100000005</v>
      </c>
      <c r="H27" s="51">
        <v>1622514.78</v>
      </c>
      <c r="I27" s="51">
        <v>846283.22370000009</v>
      </c>
      <c r="J27" s="51">
        <v>2997725.9463</v>
      </c>
      <c r="K27" s="51">
        <v>0</v>
      </c>
      <c r="L27" s="100">
        <f t="shared" si="16"/>
        <v>17006.581081400662</v>
      </c>
      <c r="N27" s="101">
        <v>744.22</v>
      </c>
      <c r="P27" s="31">
        <f t="shared" si="20"/>
        <v>12055.62613530111</v>
      </c>
      <c r="Q27" s="31">
        <f t="shared" ref="Q27:Q29" si="21">(B27+C27)/N27</f>
        <v>13984.526316949288</v>
      </c>
      <c r="R27" s="31"/>
      <c r="S27" s="51">
        <v>19292.11</v>
      </c>
      <c r="T27" s="22"/>
      <c r="U27" s="52"/>
      <c r="V27" s="52">
        <f t="shared" si="5"/>
        <v>1928.9001816481777</v>
      </c>
      <c r="W27" s="52">
        <f t="shared" si="6"/>
        <v>2.0999973126226115</v>
      </c>
      <c r="Y27" s="107"/>
      <c r="Z27" s="107"/>
      <c r="AB27" s="25"/>
      <c r="AC27" s="25"/>
      <c r="AE27" s="25"/>
      <c r="AF27" s="25"/>
      <c r="AG27" s="25"/>
      <c r="AH27" s="25"/>
      <c r="AI27" s="25"/>
      <c r="AJ27" s="25"/>
    </row>
    <row r="28" spans="1:36" ht="15" customHeight="1" x14ac:dyDescent="0.25">
      <c r="A28" s="46">
        <v>46233</v>
      </c>
      <c r="B28" s="52">
        <v>6300043.4482758623</v>
      </c>
      <c r="C28" s="52">
        <f t="shared" si="0"/>
        <v>1008006.951724138</v>
      </c>
      <c r="D28" s="52">
        <f t="shared" si="1"/>
        <v>3566785.6810999997</v>
      </c>
      <c r="E28" s="51">
        <v>447.38</v>
      </c>
      <c r="F28" s="51">
        <v>-8157.1077000000005</v>
      </c>
      <c r="G28" s="51">
        <v>5296798.4700000007</v>
      </c>
      <c r="H28" s="51">
        <v>1345662.99</v>
      </c>
      <c r="I28" s="51">
        <v>1072188.3465</v>
      </c>
      <c r="J28" s="51">
        <v>1100370.8196</v>
      </c>
      <c r="K28" s="51">
        <v>0</v>
      </c>
      <c r="L28" s="100">
        <f t="shared" si="16"/>
        <v>11810.671635441955</v>
      </c>
      <c r="N28" s="101">
        <v>745.67</v>
      </c>
      <c r="P28" s="31">
        <f t="shared" si="20"/>
        <v>8448.8358768300495</v>
      </c>
      <c r="Q28" s="31">
        <f t="shared" si="21"/>
        <v>9800.6496171228573</v>
      </c>
      <c r="R28" s="31"/>
      <c r="S28" s="51">
        <v>4783.33</v>
      </c>
      <c r="T28" s="22"/>
      <c r="U28" s="52"/>
      <c r="V28" s="52">
        <f t="shared" si="5"/>
        <v>1351.8137402928078</v>
      </c>
      <c r="W28" s="52">
        <f t="shared" si="6"/>
        <v>0.59997049633215771</v>
      </c>
      <c r="Y28" s="107"/>
      <c r="Z28" s="107"/>
      <c r="AB28" s="25"/>
      <c r="AC28" s="25"/>
      <c r="AE28" s="25"/>
      <c r="AF28" s="25"/>
      <c r="AG28" s="25"/>
      <c r="AH28" s="25"/>
      <c r="AI28" s="25"/>
      <c r="AJ28" s="25"/>
    </row>
    <row r="29" spans="1:36" ht="15" customHeight="1" thickBot="1" x14ac:dyDescent="0.3">
      <c r="A29" s="76">
        <v>46234</v>
      </c>
      <c r="B29" s="52">
        <v>5394037.5344827594</v>
      </c>
      <c r="C29" s="52">
        <f t="shared" si="0"/>
        <v>863046.00551724155</v>
      </c>
      <c r="D29" s="52">
        <f t="shared" si="1"/>
        <v>19231800.0682</v>
      </c>
      <c r="E29" s="51">
        <v>0</v>
      </c>
      <c r="F29" s="51">
        <v>81.645299999999992</v>
      </c>
      <c r="G29" s="51">
        <v>4262883.74</v>
      </c>
      <c r="H29" s="51">
        <v>2200711.9500000002</v>
      </c>
      <c r="I29" s="51">
        <v>4793833.4786999999</v>
      </c>
      <c r="J29" s="51">
        <v>4600252.4724000003</v>
      </c>
      <c r="K29" s="51">
        <v>0</v>
      </c>
      <c r="L29" s="100">
        <f t="shared" si="16"/>
        <v>21239.118822442175</v>
      </c>
      <c r="N29" s="101">
        <v>746.63</v>
      </c>
      <c r="P29" s="31">
        <f t="shared" si="20"/>
        <v>7224.5121874057559</v>
      </c>
      <c r="Q29" s="31">
        <f t="shared" si="21"/>
        <v>8380.4341373906773</v>
      </c>
      <c r="R29" s="31"/>
      <c r="S29" s="51">
        <v>25758.14</v>
      </c>
      <c r="T29" s="22"/>
      <c r="U29" s="52"/>
      <c r="V29" s="52">
        <f t="shared" si="5"/>
        <v>1155.921949984921</v>
      </c>
      <c r="W29" s="52">
        <f t="shared" si="6"/>
        <v>0</v>
      </c>
      <c r="Y29" s="107"/>
      <c r="Z29" s="107"/>
      <c r="AB29" s="25"/>
      <c r="AC29" s="25"/>
      <c r="AE29" s="25"/>
      <c r="AF29" s="25"/>
      <c r="AG29" s="25"/>
      <c r="AH29" s="25"/>
      <c r="AI29" s="25"/>
      <c r="AJ29" s="25"/>
    </row>
    <row r="30" spans="1:36" s="21" customFormat="1" ht="18" customHeight="1" thickBot="1" x14ac:dyDescent="0.3">
      <c r="A30" s="129" t="s">
        <v>189</v>
      </c>
      <c r="B30" s="132">
        <f t="shared" ref="B30:L30" si="22">SUM(B7:B29)</f>
        <v>227933619.58965516</v>
      </c>
      <c r="C30" s="132">
        <f t="shared" si="22"/>
        <v>36469379.134344824</v>
      </c>
      <c r="D30" s="132">
        <f t="shared" si="22"/>
        <v>146813080.00329998</v>
      </c>
      <c r="E30" s="132">
        <f t="shared" si="22"/>
        <v>421726.47</v>
      </c>
      <c r="F30" s="132">
        <f t="shared" si="22"/>
        <v>26229.69719000001</v>
      </c>
      <c r="G30" s="132">
        <f t="shared" si="22"/>
        <v>182560326.18000001</v>
      </c>
      <c r="H30" s="132">
        <f t="shared" si="22"/>
        <v>59640919.328700006</v>
      </c>
      <c r="I30" s="132">
        <f t="shared" si="22"/>
        <v>30920354.714520004</v>
      </c>
      <c r="J30" s="132">
        <f t="shared" si="22"/>
        <v>46856608.785000011</v>
      </c>
      <c r="K30" s="132">
        <f t="shared" si="22"/>
        <v>386397.51569999999</v>
      </c>
      <c r="L30" s="301">
        <f t="shared" si="22"/>
        <v>450068.32079690555</v>
      </c>
      <c r="N30" s="78"/>
      <c r="P30" s="79">
        <f>SUM(P7:P29)</f>
        <v>319720.24302667379</v>
      </c>
      <c r="Q30" s="79">
        <f>SUM(Q7:Q29)</f>
        <v>370875.48191094154</v>
      </c>
      <c r="R30" s="79">
        <f>SUM(R7:R29)</f>
        <v>0</v>
      </c>
      <c r="S30" s="79">
        <f>SUM(S7:S29)</f>
        <v>204068.08000000002</v>
      </c>
      <c r="T30" s="29"/>
      <c r="U30" s="77">
        <f>SUM(U7:U24)</f>
        <v>264511.96625768131</v>
      </c>
      <c r="V30" s="77">
        <f>SUM(V7:V29)</f>
        <v>51155.238884267797</v>
      </c>
      <c r="W30" s="77">
        <f>SUM(W7:W29)</f>
        <v>584.10165724726437</v>
      </c>
      <c r="Y30" s="29">
        <f>SUM(Y7:Y24)</f>
        <v>448918.3622511361</v>
      </c>
      <c r="Z30" s="29">
        <f>SUM(Z7:Z24)</f>
        <v>85192.854864665002</v>
      </c>
      <c r="AB30" s="80">
        <f>SUM(AB7:AB24)</f>
        <v>210287.57461945631</v>
      </c>
      <c r="AC30" s="80">
        <f>SUM(AC7:AC24)</f>
        <v>153287.56707519054</v>
      </c>
      <c r="AE30" s="80">
        <f t="shared" ref="AE30:AJ30" si="23">SUM(AE7:AE24)</f>
        <v>41.388375777338275</v>
      </c>
      <c r="AF30" s="80">
        <f t="shared" si="23"/>
        <v>210246.18624367897</v>
      </c>
      <c r="AG30" s="80">
        <f t="shared" si="23"/>
        <v>72254.440629032892</v>
      </c>
      <c r="AH30" s="80">
        <f t="shared" si="23"/>
        <v>32852.795476818894</v>
      </c>
      <c r="AI30" s="80">
        <f t="shared" si="23"/>
        <v>48180.330969338822</v>
      </c>
      <c r="AJ30" s="80">
        <f t="shared" si="23"/>
        <v>150.36569182422045</v>
      </c>
    </row>
    <row r="31" spans="1:36" ht="16.5" customHeight="1" thickBot="1" x14ac:dyDescent="0.3">
      <c r="A31" s="130" t="s">
        <v>190</v>
      </c>
      <c r="B31" s="131">
        <f>+P30</f>
        <v>319720.24302667379</v>
      </c>
      <c r="C31" s="131">
        <f>+V30</f>
        <v>51155.238884267797</v>
      </c>
      <c r="D31" s="131">
        <f>+S30</f>
        <v>204068.08000000002</v>
      </c>
      <c r="E31" s="131">
        <f>+W30</f>
        <v>584.10165724726437</v>
      </c>
      <c r="F31" s="131">
        <f>+AE30</f>
        <v>41.388375777338275</v>
      </c>
      <c r="G31" s="131">
        <f t="shared" ref="G31:K31" si="24">+AF30</f>
        <v>210246.18624367897</v>
      </c>
      <c r="H31" s="131">
        <f t="shared" si="24"/>
        <v>72254.440629032892</v>
      </c>
      <c r="I31" s="131">
        <f t="shared" si="24"/>
        <v>32852.795476818894</v>
      </c>
      <c r="J31" s="131">
        <f t="shared" si="24"/>
        <v>48180.330969338822</v>
      </c>
      <c r="K31" s="131">
        <f t="shared" si="24"/>
        <v>150.36569182422045</v>
      </c>
      <c r="L31" s="302"/>
      <c r="N31" s="73"/>
      <c r="S31" s="62"/>
    </row>
    <row r="32" spans="1:36" x14ac:dyDescent="0.25">
      <c r="B32" s="297"/>
      <c r="C32" s="297"/>
      <c r="D32" s="297"/>
      <c r="P32" s="71" t="s">
        <v>115</v>
      </c>
      <c r="Q32" s="71">
        <f>+P30</f>
        <v>319720.24302667379</v>
      </c>
      <c r="R32" s="29"/>
      <c r="S32" s="62"/>
      <c r="W32" s="55"/>
    </row>
    <row r="33" spans="1:25" ht="15.75" customHeight="1" x14ac:dyDescent="0.25">
      <c r="A33" s="296" t="s">
        <v>170</v>
      </c>
      <c r="B33" s="84">
        <v>0</v>
      </c>
      <c r="E33" s="22">
        <v>0</v>
      </c>
      <c r="G33" s="22">
        <v>0</v>
      </c>
      <c r="R33" s="31"/>
      <c r="S33" s="62"/>
      <c r="U33" s="52"/>
    </row>
    <row r="34" spans="1:25" ht="15.75" customHeight="1" x14ac:dyDescent="0.35">
      <c r="A34" s="296"/>
      <c r="B34" s="84">
        <f>+B30-B33</f>
        <v>227933619.58965516</v>
      </c>
      <c r="E34" s="119"/>
      <c r="F34" s="120"/>
      <c r="G34" s="119"/>
      <c r="H34" s="119"/>
      <c r="I34" s="119"/>
      <c r="L34" s="81"/>
      <c r="P34" s="71" t="s">
        <v>100</v>
      </c>
      <c r="Q34" s="71">
        <f>+S30</f>
        <v>204068.08000000002</v>
      </c>
      <c r="R34" s="29"/>
      <c r="S34" s="22"/>
    </row>
    <row r="35" spans="1:25" ht="3.75" customHeight="1" x14ac:dyDescent="0.25">
      <c r="B35" s="82"/>
      <c r="E35" s="119"/>
      <c r="F35" s="119"/>
      <c r="G35" s="121"/>
      <c r="H35" s="122"/>
      <c r="I35" s="122"/>
      <c r="J35" s="83"/>
      <c r="K35" s="83"/>
      <c r="L35" s="81"/>
      <c r="P35" s="25"/>
      <c r="S35" s="22"/>
    </row>
    <row r="36" spans="1:25" ht="13.2" x14ac:dyDescent="0.25">
      <c r="E36" s="119"/>
      <c r="F36" s="119"/>
      <c r="G36" s="119"/>
      <c r="H36" s="119"/>
      <c r="I36" s="119"/>
      <c r="P36" s="71" t="s">
        <v>155</v>
      </c>
      <c r="Q36" s="71">
        <f>SUM(Q32:Q35)</f>
        <v>523788.32302667381</v>
      </c>
    </row>
    <row r="37" spans="1:25" ht="13.2" x14ac:dyDescent="0.25">
      <c r="B37" s="29"/>
      <c r="E37" s="125"/>
      <c r="F37" s="133"/>
      <c r="G37" s="125"/>
      <c r="H37" s="119"/>
      <c r="I37" s="119"/>
    </row>
    <row r="38" spans="1:25" ht="13.2" x14ac:dyDescent="0.25">
      <c r="E38" s="125"/>
      <c r="F38" s="125"/>
      <c r="G38" s="125"/>
      <c r="H38" s="119"/>
      <c r="I38" s="119"/>
      <c r="P38" s="25"/>
      <c r="Q38" s="20"/>
      <c r="R38" s="20"/>
      <c r="T38" s="42"/>
      <c r="V38" s="20"/>
      <c r="W38" s="20"/>
    </row>
    <row r="39" spans="1:25" ht="13.2" hidden="1" x14ac:dyDescent="0.25">
      <c r="E39" s="119"/>
      <c r="F39" s="119"/>
      <c r="G39" s="119"/>
      <c r="H39" s="119"/>
      <c r="I39" s="119"/>
      <c r="P39" s="25"/>
      <c r="Q39" s="20"/>
      <c r="R39" s="20"/>
      <c r="T39" s="42"/>
      <c r="V39" s="20"/>
      <c r="W39" s="20"/>
      <c r="Y39" s="62"/>
    </row>
    <row r="40" spans="1:25" ht="13.2" x14ac:dyDescent="0.25">
      <c r="E40" s="123" t="s">
        <v>178</v>
      </c>
      <c r="F40" s="123" t="s">
        <v>177</v>
      </c>
      <c r="G40" s="123" t="s">
        <v>187</v>
      </c>
      <c r="H40" s="121" t="s">
        <v>165</v>
      </c>
      <c r="I40" s="124"/>
      <c r="J40" s="52"/>
      <c r="K40" s="52"/>
      <c r="P40" s="25"/>
      <c r="Q40" s="20"/>
      <c r="R40" s="20"/>
      <c r="T40" s="42"/>
      <c r="V40" s="20"/>
      <c r="W40" s="20"/>
    </row>
    <row r="41" spans="1:25" ht="13.2" x14ac:dyDescent="0.25">
      <c r="E41" s="119">
        <f>SUM(E37:E38)</f>
        <v>0</v>
      </c>
      <c r="F41" s="119">
        <f>SUM(F37:F38)</f>
        <v>0</v>
      </c>
      <c r="G41" s="119">
        <f>SUM(G37:G38)</f>
        <v>0</v>
      </c>
      <c r="H41" s="119"/>
      <c r="I41" s="119"/>
      <c r="P41" s="25"/>
      <c r="Q41" s="20"/>
      <c r="R41" s="20"/>
      <c r="T41" s="42"/>
      <c r="V41" s="20"/>
      <c r="W41" s="20"/>
    </row>
    <row r="42" spans="1:25" ht="13.2" x14ac:dyDescent="0.25">
      <c r="E42" s="119"/>
      <c r="F42" s="119"/>
      <c r="G42" s="119"/>
      <c r="H42" s="119"/>
      <c r="I42" s="119"/>
    </row>
    <row r="43" spans="1:25" ht="15" x14ac:dyDescent="0.25">
      <c r="E43" s="126"/>
      <c r="F43" s="127"/>
      <c r="G43" s="118">
        <f>SUM(E43:F43)</f>
        <v>0</v>
      </c>
      <c r="H43" s="119">
        <f>+G43*$N$24</f>
        <v>0</v>
      </c>
      <c r="I43" s="119" t="s">
        <v>179</v>
      </c>
    </row>
    <row r="44" spans="1:25" ht="15" x14ac:dyDescent="0.35">
      <c r="E44" s="128"/>
      <c r="F44" s="128"/>
      <c r="G44" s="118">
        <f>SUM(E44:F44)</f>
        <v>0</v>
      </c>
      <c r="H44" s="119">
        <f>+G44*$N$24</f>
        <v>0</v>
      </c>
      <c r="I44" s="119" t="s">
        <v>165</v>
      </c>
    </row>
    <row r="45" spans="1:25" ht="15" x14ac:dyDescent="0.35">
      <c r="E45" s="128"/>
      <c r="F45" s="127"/>
      <c r="G45" s="118">
        <f t="shared" ref="G45:G47" si="25">SUM(E45:F45)</f>
        <v>0</v>
      </c>
      <c r="H45" s="119">
        <f t="shared" ref="H45:H46" si="26">+G45*$N$24</f>
        <v>0</v>
      </c>
      <c r="I45" s="119" t="s">
        <v>180</v>
      </c>
    </row>
    <row r="46" spans="1:25" ht="15" x14ac:dyDescent="0.35">
      <c r="E46" s="126"/>
      <c r="F46" s="128"/>
      <c r="G46" s="118">
        <f t="shared" si="25"/>
        <v>0</v>
      </c>
      <c r="H46" s="119">
        <f t="shared" si="26"/>
        <v>0</v>
      </c>
      <c r="I46" s="119" t="s">
        <v>181</v>
      </c>
    </row>
    <row r="47" spans="1:25" ht="15" x14ac:dyDescent="0.25">
      <c r="E47" s="126"/>
      <c r="F47" s="126"/>
      <c r="G47" s="118">
        <f t="shared" si="25"/>
        <v>0</v>
      </c>
      <c r="H47" s="119">
        <f t="shared" ref="H47" si="27">+G47*$N$24</f>
        <v>0</v>
      </c>
      <c r="I47" s="119" t="s">
        <v>188</v>
      </c>
    </row>
    <row r="48" spans="1:25" ht="13.2" x14ac:dyDescent="0.25">
      <c r="E48" s="119"/>
      <c r="F48" s="119"/>
      <c r="G48" s="119"/>
      <c r="H48" s="119"/>
      <c r="I48" s="119"/>
    </row>
  </sheetData>
  <mergeCells count="15">
    <mergeCell ref="A3:N3"/>
    <mergeCell ref="B5:C5"/>
    <mergeCell ref="F5:F6"/>
    <mergeCell ref="H5:L5"/>
    <mergeCell ref="G5:G6"/>
    <mergeCell ref="B4:D4"/>
    <mergeCell ref="D5:D6"/>
    <mergeCell ref="E5:E6"/>
    <mergeCell ref="E4:L4"/>
    <mergeCell ref="AB6:AC6"/>
    <mergeCell ref="A33:A34"/>
    <mergeCell ref="B32:D32"/>
    <mergeCell ref="U5:W5"/>
    <mergeCell ref="L30:L31"/>
    <mergeCell ref="P4:S5"/>
  </mergeCells>
  <pageMargins left="0.25" right="0.25" top="0.75" bottom="0.75" header="0.3" footer="0.3"/>
  <pageSetup scale="2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94AE-B28C-4623-BEAC-8BD922AD14D8}">
  <dimension ref="A1:T32"/>
  <sheetViews>
    <sheetView showGridLines="0" zoomScale="73" zoomScaleNormal="73" workbookViewId="0">
      <selection activeCell="H5" sqref="H5"/>
    </sheetView>
  </sheetViews>
  <sheetFormatPr baseColWidth="10" defaultColWidth="9.109375" defaultRowHeight="14.4" x14ac:dyDescent="0.3"/>
  <cols>
    <col min="1" max="1" width="13.109375" customWidth="1"/>
    <col min="3" max="3" width="5.109375" customWidth="1"/>
    <col min="4" max="4" width="26.6640625" customWidth="1"/>
    <col min="5" max="6" width="20.5546875" customWidth="1"/>
    <col min="7" max="7" width="4.33203125" customWidth="1"/>
    <col min="8" max="8" width="16.5546875" customWidth="1"/>
    <col min="12" max="12" width="52.44140625" bestFit="1" customWidth="1"/>
    <col min="13" max="13" width="16" customWidth="1"/>
    <col min="14" max="14" width="23.33203125" customWidth="1"/>
    <col min="16" max="16" width="39.44140625" style="278" bestFit="1" customWidth="1"/>
    <col min="17" max="17" width="13.88671875" style="278" bestFit="1" customWidth="1"/>
    <col min="18" max="18" width="12.6640625" style="278" bestFit="1" customWidth="1"/>
    <col min="19" max="19" width="15" style="278" bestFit="1" customWidth="1"/>
    <col min="20" max="20" width="28.88671875" style="278" bestFit="1" customWidth="1"/>
    <col min="21" max="244" width="9.109375" style="20"/>
    <col min="245" max="245" width="19" style="20" customWidth="1"/>
    <col min="246" max="246" width="9.109375" style="20"/>
    <col min="247" max="247" width="5.109375" style="20" customWidth="1"/>
    <col min="248" max="248" width="26.6640625" style="20" customWidth="1"/>
    <col min="249" max="249" width="20.5546875" style="20" customWidth="1"/>
    <col min="250" max="250" width="17.33203125" style="20" customWidth="1"/>
    <col min="251" max="251" width="4.33203125" style="20" customWidth="1"/>
    <col min="252" max="252" width="16.5546875" style="20" customWidth="1"/>
    <col min="253" max="500" width="9.109375" style="20"/>
    <col min="501" max="501" width="19" style="20" customWidth="1"/>
    <col min="502" max="502" width="9.109375" style="20"/>
    <col min="503" max="503" width="5.109375" style="20" customWidth="1"/>
    <col min="504" max="504" width="26.6640625" style="20" customWidth="1"/>
    <col min="505" max="505" width="20.5546875" style="20" customWidth="1"/>
    <col min="506" max="506" width="17.33203125" style="20" customWidth="1"/>
    <col min="507" max="507" width="4.33203125" style="20" customWidth="1"/>
    <col min="508" max="508" width="16.5546875" style="20" customWidth="1"/>
    <col min="509" max="756" width="9.109375" style="20"/>
    <col min="757" max="757" width="19" style="20" customWidth="1"/>
    <col min="758" max="758" width="9.109375" style="20"/>
    <col min="759" max="759" width="5.109375" style="20" customWidth="1"/>
    <col min="760" max="760" width="26.6640625" style="20" customWidth="1"/>
    <col min="761" max="761" width="20.5546875" style="20" customWidth="1"/>
    <col min="762" max="762" width="17.33203125" style="20" customWidth="1"/>
    <col min="763" max="763" width="4.33203125" style="20" customWidth="1"/>
    <col min="764" max="764" width="16.5546875" style="20" customWidth="1"/>
    <col min="765" max="1012" width="9.109375" style="20"/>
    <col min="1013" max="1013" width="19" style="20" customWidth="1"/>
    <col min="1014" max="1014" width="9.109375" style="20"/>
    <col min="1015" max="1015" width="5.109375" style="20" customWidth="1"/>
    <col min="1016" max="1016" width="26.6640625" style="20" customWidth="1"/>
    <col min="1017" max="1017" width="20.5546875" style="20" customWidth="1"/>
    <col min="1018" max="1018" width="17.33203125" style="20" customWidth="1"/>
    <col min="1019" max="1019" width="4.33203125" style="20" customWidth="1"/>
    <col min="1020" max="1020" width="16.5546875" style="20" customWidth="1"/>
    <col min="1021" max="1268" width="9.109375" style="20"/>
    <col min="1269" max="1269" width="19" style="20" customWidth="1"/>
    <col min="1270" max="1270" width="9.109375" style="20"/>
    <col min="1271" max="1271" width="5.109375" style="20" customWidth="1"/>
    <col min="1272" max="1272" width="26.6640625" style="20" customWidth="1"/>
    <col min="1273" max="1273" width="20.5546875" style="20" customWidth="1"/>
    <col min="1274" max="1274" width="17.33203125" style="20" customWidth="1"/>
    <col min="1275" max="1275" width="4.33203125" style="20" customWidth="1"/>
    <col min="1276" max="1276" width="16.5546875" style="20" customWidth="1"/>
    <col min="1277" max="1524" width="9.109375" style="20"/>
    <col min="1525" max="1525" width="19" style="20" customWidth="1"/>
    <col min="1526" max="1526" width="9.109375" style="20"/>
    <col min="1527" max="1527" width="5.109375" style="20" customWidth="1"/>
    <col min="1528" max="1528" width="26.6640625" style="20" customWidth="1"/>
    <col min="1529" max="1529" width="20.5546875" style="20" customWidth="1"/>
    <col min="1530" max="1530" width="17.33203125" style="20" customWidth="1"/>
    <col min="1531" max="1531" width="4.33203125" style="20" customWidth="1"/>
    <col min="1532" max="1532" width="16.5546875" style="20" customWidth="1"/>
    <col min="1533" max="1780" width="9.109375" style="20"/>
    <col min="1781" max="1781" width="19" style="20" customWidth="1"/>
    <col min="1782" max="1782" width="9.109375" style="20"/>
    <col min="1783" max="1783" width="5.109375" style="20" customWidth="1"/>
    <col min="1784" max="1784" width="26.6640625" style="20" customWidth="1"/>
    <col min="1785" max="1785" width="20.5546875" style="20" customWidth="1"/>
    <col min="1786" max="1786" width="17.33203125" style="20" customWidth="1"/>
    <col min="1787" max="1787" width="4.33203125" style="20" customWidth="1"/>
    <col min="1788" max="1788" width="16.5546875" style="20" customWidth="1"/>
    <col min="1789" max="2036" width="9.109375" style="20"/>
    <col min="2037" max="2037" width="19" style="20" customWidth="1"/>
    <col min="2038" max="2038" width="9.109375" style="20"/>
    <col min="2039" max="2039" width="5.109375" style="20" customWidth="1"/>
    <col min="2040" max="2040" width="26.6640625" style="20" customWidth="1"/>
    <col min="2041" max="2041" width="20.5546875" style="20" customWidth="1"/>
    <col min="2042" max="2042" width="17.33203125" style="20" customWidth="1"/>
    <col min="2043" max="2043" width="4.33203125" style="20" customWidth="1"/>
    <col min="2044" max="2044" width="16.5546875" style="20" customWidth="1"/>
    <col min="2045" max="2292" width="9.109375" style="20"/>
    <col min="2293" max="2293" width="19" style="20" customWidth="1"/>
    <col min="2294" max="2294" width="9.109375" style="20"/>
    <col min="2295" max="2295" width="5.109375" style="20" customWidth="1"/>
    <col min="2296" max="2296" width="26.6640625" style="20" customWidth="1"/>
    <col min="2297" max="2297" width="20.5546875" style="20" customWidth="1"/>
    <col min="2298" max="2298" width="17.33203125" style="20" customWidth="1"/>
    <col min="2299" max="2299" width="4.33203125" style="20" customWidth="1"/>
    <col min="2300" max="2300" width="16.5546875" style="20" customWidth="1"/>
    <col min="2301" max="2548" width="9.109375" style="20"/>
    <col min="2549" max="2549" width="19" style="20" customWidth="1"/>
    <col min="2550" max="2550" width="9.109375" style="20"/>
    <col min="2551" max="2551" width="5.109375" style="20" customWidth="1"/>
    <col min="2552" max="2552" width="26.6640625" style="20" customWidth="1"/>
    <col min="2553" max="2553" width="20.5546875" style="20" customWidth="1"/>
    <col min="2554" max="2554" width="17.33203125" style="20" customWidth="1"/>
    <col min="2555" max="2555" width="4.33203125" style="20" customWidth="1"/>
    <col min="2556" max="2556" width="16.5546875" style="20" customWidth="1"/>
    <col min="2557" max="2804" width="9.109375" style="20"/>
    <col min="2805" max="2805" width="19" style="20" customWidth="1"/>
    <col min="2806" max="2806" width="9.109375" style="20"/>
    <col min="2807" max="2807" width="5.109375" style="20" customWidth="1"/>
    <col min="2808" max="2808" width="26.6640625" style="20" customWidth="1"/>
    <col min="2809" max="2809" width="20.5546875" style="20" customWidth="1"/>
    <col min="2810" max="2810" width="17.33203125" style="20" customWidth="1"/>
    <col min="2811" max="2811" width="4.33203125" style="20" customWidth="1"/>
    <col min="2812" max="2812" width="16.5546875" style="20" customWidth="1"/>
    <col min="2813" max="3060" width="9.109375" style="20"/>
    <col min="3061" max="3061" width="19" style="20" customWidth="1"/>
    <col min="3062" max="3062" width="9.109375" style="20"/>
    <col min="3063" max="3063" width="5.109375" style="20" customWidth="1"/>
    <col min="3064" max="3064" width="26.6640625" style="20" customWidth="1"/>
    <col min="3065" max="3065" width="20.5546875" style="20" customWidth="1"/>
    <col min="3066" max="3066" width="17.33203125" style="20" customWidth="1"/>
    <col min="3067" max="3067" width="4.33203125" style="20" customWidth="1"/>
    <col min="3068" max="3068" width="16.5546875" style="20" customWidth="1"/>
    <col min="3069" max="3316" width="9.109375" style="20"/>
    <col min="3317" max="3317" width="19" style="20" customWidth="1"/>
    <col min="3318" max="3318" width="9.109375" style="20"/>
    <col min="3319" max="3319" width="5.109375" style="20" customWidth="1"/>
    <col min="3320" max="3320" width="26.6640625" style="20" customWidth="1"/>
    <col min="3321" max="3321" width="20.5546875" style="20" customWidth="1"/>
    <col min="3322" max="3322" width="17.33203125" style="20" customWidth="1"/>
    <col min="3323" max="3323" width="4.33203125" style="20" customWidth="1"/>
    <col min="3324" max="3324" width="16.5546875" style="20" customWidth="1"/>
    <col min="3325" max="3572" width="9.109375" style="20"/>
    <col min="3573" max="3573" width="19" style="20" customWidth="1"/>
    <col min="3574" max="3574" width="9.109375" style="20"/>
    <col min="3575" max="3575" width="5.109375" style="20" customWidth="1"/>
    <col min="3576" max="3576" width="26.6640625" style="20" customWidth="1"/>
    <col min="3577" max="3577" width="20.5546875" style="20" customWidth="1"/>
    <col min="3578" max="3578" width="17.33203125" style="20" customWidth="1"/>
    <col min="3579" max="3579" width="4.33203125" style="20" customWidth="1"/>
    <col min="3580" max="3580" width="16.5546875" style="20" customWidth="1"/>
    <col min="3581" max="3828" width="9.109375" style="20"/>
    <col min="3829" max="3829" width="19" style="20" customWidth="1"/>
    <col min="3830" max="3830" width="9.109375" style="20"/>
    <col min="3831" max="3831" width="5.109375" style="20" customWidth="1"/>
    <col min="3832" max="3832" width="26.6640625" style="20" customWidth="1"/>
    <col min="3833" max="3833" width="20.5546875" style="20" customWidth="1"/>
    <col min="3834" max="3834" width="17.33203125" style="20" customWidth="1"/>
    <col min="3835" max="3835" width="4.33203125" style="20" customWidth="1"/>
    <col min="3836" max="3836" width="16.5546875" style="20" customWidth="1"/>
    <col min="3837" max="4084" width="9.109375" style="20"/>
    <col min="4085" max="4085" width="19" style="20" customWidth="1"/>
    <col min="4086" max="4086" width="9.109375" style="20"/>
    <col min="4087" max="4087" width="5.109375" style="20" customWidth="1"/>
    <col min="4088" max="4088" width="26.6640625" style="20" customWidth="1"/>
    <col min="4089" max="4089" width="20.5546875" style="20" customWidth="1"/>
    <col min="4090" max="4090" width="17.33203125" style="20" customWidth="1"/>
    <col min="4091" max="4091" width="4.33203125" style="20" customWidth="1"/>
    <col min="4092" max="4092" width="16.5546875" style="20" customWidth="1"/>
    <col min="4093" max="4340" width="9.109375" style="20"/>
    <col min="4341" max="4341" width="19" style="20" customWidth="1"/>
    <col min="4342" max="4342" width="9.109375" style="20"/>
    <col min="4343" max="4343" width="5.109375" style="20" customWidth="1"/>
    <col min="4344" max="4344" width="26.6640625" style="20" customWidth="1"/>
    <col min="4345" max="4345" width="20.5546875" style="20" customWidth="1"/>
    <col min="4346" max="4346" width="17.33203125" style="20" customWidth="1"/>
    <col min="4347" max="4347" width="4.33203125" style="20" customWidth="1"/>
    <col min="4348" max="4348" width="16.5546875" style="20" customWidth="1"/>
    <col min="4349" max="4596" width="9.109375" style="20"/>
    <col min="4597" max="4597" width="19" style="20" customWidth="1"/>
    <col min="4598" max="4598" width="9.109375" style="20"/>
    <col min="4599" max="4599" width="5.109375" style="20" customWidth="1"/>
    <col min="4600" max="4600" width="26.6640625" style="20" customWidth="1"/>
    <col min="4601" max="4601" width="20.5546875" style="20" customWidth="1"/>
    <col min="4602" max="4602" width="17.33203125" style="20" customWidth="1"/>
    <col min="4603" max="4603" width="4.33203125" style="20" customWidth="1"/>
    <col min="4604" max="4604" width="16.5546875" style="20" customWidth="1"/>
    <col min="4605" max="4852" width="9.109375" style="20"/>
    <col min="4853" max="4853" width="19" style="20" customWidth="1"/>
    <col min="4854" max="4854" width="9.109375" style="20"/>
    <col min="4855" max="4855" width="5.109375" style="20" customWidth="1"/>
    <col min="4856" max="4856" width="26.6640625" style="20" customWidth="1"/>
    <col min="4857" max="4857" width="20.5546875" style="20" customWidth="1"/>
    <col min="4858" max="4858" width="17.33203125" style="20" customWidth="1"/>
    <col min="4859" max="4859" width="4.33203125" style="20" customWidth="1"/>
    <col min="4860" max="4860" width="16.5546875" style="20" customWidth="1"/>
    <col min="4861" max="5108" width="9.109375" style="20"/>
    <col min="5109" max="5109" width="19" style="20" customWidth="1"/>
    <col min="5110" max="5110" width="9.109375" style="20"/>
    <col min="5111" max="5111" width="5.109375" style="20" customWidth="1"/>
    <col min="5112" max="5112" width="26.6640625" style="20" customWidth="1"/>
    <col min="5113" max="5113" width="20.5546875" style="20" customWidth="1"/>
    <col min="5114" max="5114" width="17.33203125" style="20" customWidth="1"/>
    <col min="5115" max="5115" width="4.33203125" style="20" customWidth="1"/>
    <col min="5116" max="5116" width="16.5546875" style="20" customWidth="1"/>
    <col min="5117" max="5364" width="9.109375" style="20"/>
    <col min="5365" max="5365" width="19" style="20" customWidth="1"/>
    <col min="5366" max="5366" width="9.109375" style="20"/>
    <col min="5367" max="5367" width="5.109375" style="20" customWidth="1"/>
    <col min="5368" max="5368" width="26.6640625" style="20" customWidth="1"/>
    <col min="5369" max="5369" width="20.5546875" style="20" customWidth="1"/>
    <col min="5370" max="5370" width="17.33203125" style="20" customWidth="1"/>
    <col min="5371" max="5371" width="4.33203125" style="20" customWidth="1"/>
    <col min="5372" max="5372" width="16.5546875" style="20" customWidth="1"/>
    <col min="5373" max="5620" width="9.109375" style="20"/>
    <col min="5621" max="5621" width="19" style="20" customWidth="1"/>
    <col min="5622" max="5622" width="9.109375" style="20"/>
    <col min="5623" max="5623" width="5.109375" style="20" customWidth="1"/>
    <col min="5624" max="5624" width="26.6640625" style="20" customWidth="1"/>
    <col min="5625" max="5625" width="20.5546875" style="20" customWidth="1"/>
    <col min="5626" max="5626" width="17.33203125" style="20" customWidth="1"/>
    <col min="5627" max="5627" width="4.33203125" style="20" customWidth="1"/>
    <col min="5628" max="5628" width="16.5546875" style="20" customWidth="1"/>
    <col min="5629" max="5876" width="9.109375" style="20"/>
    <col min="5877" max="5877" width="19" style="20" customWidth="1"/>
    <col min="5878" max="5878" width="9.109375" style="20"/>
    <col min="5879" max="5879" width="5.109375" style="20" customWidth="1"/>
    <col min="5880" max="5880" width="26.6640625" style="20" customWidth="1"/>
    <col min="5881" max="5881" width="20.5546875" style="20" customWidth="1"/>
    <col min="5882" max="5882" width="17.33203125" style="20" customWidth="1"/>
    <col min="5883" max="5883" width="4.33203125" style="20" customWidth="1"/>
    <col min="5884" max="5884" width="16.5546875" style="20" customWidth="1"/>
    <col min="5885" max="6132" width="9.109375" style="20"/>
    <col min="6133" max="6133" width="19" style="20" customWidth="1"/>
    <col min="6134" max="6134" width="9.109375" style="20"/>
    <col min="6135" max="6135" width="5.109375" style="20" customWidth="1"/>
    <col min="6136" max="6136" width="26.6640625" style="20" customWidth="1"/>
    <col min="6137" max="6137" width="20.5546875" style="20" customWidth="1"/>
    <col min="6138" max="6138" width="17.33203125" style="20" customWidth="1"/>
    <col min="6139" max="6139" width="4.33203125" style="20" customWidth="1"/>
    <col min="6140" max="6140" width="16.5546875" style="20" customWidth="1"/>
    <col min="6141" max="6388" width="9.109375" style="20"/>
    <col min="6389" max="6389" width="19" style="20" customWidth="1"/>
    <col min="6390" max="6390" width="9.109375" style="20"/>
    <col min="6391" max="6391" width="5.109375" style="20" customWidth="1"/>
    <col min="6392" max="6392" width="26.6640625" style="20" customWidth="1"/>
    <col min="6393" max="6393" width="20.5546875" style="20" customWidth="1"/>
    <col min="6394" max="6394" width="17.33203125" style="20" customWidth="1"/>
    <col min="6395" max="6395" width="4.33203125" style="20" customWidth="1"/>
    <col min="6396" max="6396" width="16.5546875" style="20" customWidth="1"/>
    <col min="6397" max="6644" width="9.109375" style="20"/>
    <col min="6645" max="6645" width="19" style="20" customWidth="1"/>
    <col min="6646" max="6646" width="9.109375" style="20"/>
    <col min="6647" max="6647" width="5.109375" style="20" customWidth="1"/>
    <col min="6648" max="6648" width="26.6640625" style="20" customWidth="1"/>
    <col min="6649" max="6649" width="20.5546875" style="20" customWidth="1"/>
    <col min="6650" max="6650" width="17.33203125" style="20" customWidth="1"/>
    <col min="6651" max="6651" width="4.33203125" style="20" customWidth="1"/>
    <col min="6652" max="6652" width="16.5546875" style="20" customWidth="1"/>
    <col min="6653" max="6900" width="9.109375" style="20"/>
    <col min="6901" max="6901" width="19" style="20" customWidth="1"/>
    <col min="6902" max="6902" width="9.109375" style="20"/>
    <col min="6903" max="6903" width="5.109375" style="20" customWidth="1"/>
    <col min="6904" max="6904" width="26.6640625" style="20" customWidth="1"/>
    <col min="6905" max="6905" width="20.5546875" style="20" customWidth="1"/>
    <col min="6906" max="6906" width="17.33203125" style="20" customWidth="1"/>
    <col min="6907" max="6907" width="4.33203125" style="20" customWidth="1"/>
    <col min="6908" max="6908" width="16.5546875" style="20" customWidth="1"/>
    <col min="6909" max="7156" width="9.109375" style="20"/>
    <col min="7157" max="7157" width="19" style="20" customWidth="1"/>
    <col min="7158" max="7158" width="9.109375" style="20"/>
    <col min="7159" max="7159" width="5.109375" style="20" customWidth="1"/>
    <col min="7160" max="7160" width="26.6640625" style="20" customWidth="1"/>
    <col min="7161" max="7161" width="20.5546875" style="20" customWidth="1"/>
    <col min="7162" max="7162" width="17.33203125" style="20" customWidth="1"/>
    <col min="7163" max="7163" width="4.33203125" style="20" customWidth="1"/>
    <col min="7164" max="7164" width="16.5546875" style="20" customWidth="1"/>
    <col min="7165" max="7412" width="9.109375" style="20"/>
    <col min="7413" max="7413" width="19" style="20" customWidth="1"/>
    <col min="7414" max="7414" width="9.109375" style="20"/>
    <col min="7415" max="7415" width="5.109375" style="20" customWidth="1"/>
    <col min="7416" max="7416" width="26.6640625" style="20" customWidth="1"/>
    <col min="7417" max="7417" width="20.5546875" style="20" customWidth="1"/>
    <col min="7418" max="7418" width="17.33203125" style="20" customWidth="1"/>
    <col min="7419" max="7419" width="4.33203125" style="20" customWidth="1"/>
    <col min="7420" max="7420" width="16.5546875" style="20" customWidth="1"/>
    <col min="7421" max="7668" width="9.109375" style="20"/>
    <col min="7669" max="7669" width="19" style="20" customWidth="1"/>
    <col min="7670" max="7670" width="9.109375" style="20"/>
    <col min="7671" max="7671" width="5.109375" style="20" customWidth="1"/>
    <col min="7672" max="7672" width="26.6640625" style="20" customWidth="1"/>
    <col min="7673" max="7673" width="20.5546875" style="20" customWidth="1"/>
    <col min="7674" max="7674" width="17.33203125" style="20" customWidth="1"/>
    <col min="7675" max="7675" width="4.33203125" style="20" customWidth="1"/>
    <col min="7676" max="7676" width="16.5546875" style="20" customWidth="1"/>
    <col min="7677" max="7924" width="9.109375" style="20"/>
    <col min="7925" max="7925" width="19" style="20" customWidth="1"/>
    <col min="7926" max="7926" width="9.109375" style="20"/>
    <col min="7927" max="7927" width="5.109375" style="20" customWidth="1"/>
    <col min="7928" max="7928" width="26.6640625" style="20" customWidth="1"/>
    <col min="7929" max="7929" width="20.5546875" style="20" customWidth="1"/>
    <col min="7930" max="7930" width="17.33203125" style="20" customWidth="1"/>
    <col min="7931" max="7931" width="4.33203125" style="20" customWidth="1"/>
    <col min="7932" max="7932" width="16.5546875" style="20" customWidth="1"/>
    <col min="7933" max="8180" width="9.109375" style="20"/>
    <col min="8181" max="8181" width="19" style="20" customWidth="1"/>
    <col min="8182" max="8182" width="9.109375" style="20"/>
    <col min="8183" max="8183" width="5.109375" style="20" customWidth="1"/>
    <col min="8184" max="8184" width="26.6640625" style="20" customWidth="1"/>
    <col min="8185" max="8185" width="20.5546875" style="20" customWidth="1"/>
    <col min="8186" max="8186" width="17.33203125" style="20" customWidth="1"/>
    <col min="8187" max="8187" width="4.33203125" style="20" customWidth="1"/>
    <col min="8188" max="8188" width="16.5546875" style="20" customWidth="1"/>
    <col min="8189" max="8436" width="9.109375" style="20"/>
    <col min="8437" max="8437" width="19" style="20" customWidth="1"/>
    <col min="8438" max="8438" width="9.109375" style="20"/>
    <col min="8439" max="8439" width="5.109375" style="20" customWidth="1"/>
    <col min="8440" max="8440" width="26.6640625" style="20" customWidth="1"/>
    <col min="8441" max="8441" width="20.5546875" style="20" customWidth="1"/>
    <col min="8442" max="8442" width="17.33203125" style="20" customWidth="1"/>
    <col min="8443" max="8443" width="4.33203125" style="20" customWidth="1"/>
    <col min="8444" max="8444" width="16.5546875" style="20" customWidth="1"/>
    <col min="8445" max="8692" width="9.109375" style="20"/>
    <col min="8693" max="8693" width="19" style="20" customWidth="1"/>
    <col min="8694" max="8694" width="9.109375" style="20"/>
    <col min="8695" max="8695" width="5.109375" style="20" customWidth="1"/>
    <col min="8696" max="8696" width="26.6640625" style="20" customWidth="1"/>
    <col min="8697" max="8697" width="20.5546875" style="20" customWidth="1"/>
    <col min="8698" max="8698" width="17.33203125" style="20" customWidth="1"/>
    <col min="8699" max="8699" width="4.33203125" style="20" customWidth="1"/>
    <col min="8700" max="8700" width="16.5546875" style="20" customWidth="1"/>
    <col min="8701" max="8948" width="9.109375" style="20"/>
    <col min="8949" max="8949" width="19" style="20" customWidth="1"/>
    <col min="8950" max="8950" width="9.109375" style="20"/>
    <col min="8951" max="8951" width="5.109375" style="20" customWidth="1"/>
    <col min="8952" max="8952" width="26.6640625" style="20" customWidth="1"/>
    <col min="8953" max="8953" width="20.5546875" style="20" customWidth="1"/>
    <col min="8954" max="8954" width="17.33203125" style="20" customWidth="1"/>
    <col min="8955" max="8955" width="4.33203125" style="20" customWidth="1"/>
    <col min="8956" max="8956" width="16.5546875" style="20" customWidth="1"/>
    <col min="8957" max="9204" width="9.109375" style="20"/>
    <col min="9205" max="9205" width="19" style="20" customWidth="1"/>
    <col min="9206" max="9206" width="9.109375" style="20"/>
    <col min="9207" max="9207" width="5.109375" style="20" customWidth="1"/>
    <col min="9208" max="9208" width="26.6640625" style="20" customWidth="1"/>
    <col min="9209" max="9209" width="20.5546875" style="20" customWidth="1"/>
    <col min="9210" max="9210" width="17.33203125" style="20" customWidth="1"/>
    <col min="9211" max="9211" width="4.33203125" style="20" customWidth="1"/>
    <col min="9212" max="9212" width="16.5546875" style="20" customWidth="1"/>
    <col min="9213" max="9460" width="9.109375" style="20"/>
    <col min="9461" max="9461" width="19" style="20" customWidth="1"/>
    <col min="9462" max="9462" width="9.109375" style="20"/>
    <col min="9463" max="9463" width="5.109375" style="20" customWidth="1"/>
    <col min="9464" max="9464" width="26.6640625" style="20" customWidth="1"/>
    <col min="9465" max="9465" width="20.5546875" style="20" customWidth="1"/>
    <col min="9466" max="9466" width="17.33203125" style="20" customWidth="1"/>
    <col min="9467" max="9467" width="4.33203125" style="20" customWidth="1"/>
    <col min="9468" max="9468" width="16.5546875" style="20" customWidth="1"/>
    <col min="9469" max="9716" width="9.109375" style="20"/>
    <col min="9717" max="9717" width="19" style="20" customWidth="1"/>
    <col min="9718" max="9718" width="9.109375" style="20"/>
    <col min="9719" max="9719" width="5.109375" style="20" customWidth="1"/>
    <col min="9720" max="9720" width="26.6640625" style="20" customWidth="1"/>
    <col min="9721" max="9721" width="20.5546875" style="20" customWidth="1"/>
    <col min="9722" max="9722" width="17.33203125" style="20" customWidth="1"/>
    <col min="9723" max="9723" width="4.33203125" style="20" customWidth="1"/>
    <col min="9724" max="9724" width="16.5546875" style="20" customWidth="1"/>
    <col min="9725" max="9972" width="9.109375" style="20"/>
    <col min="9973" max="9973" width="19" style="20" customWidth="1"/>
    <col min="9974" max="9974" width="9.109375" style="20"/>
    <col min="9975" max="9975" width="5.109375" style="20" customWidth="1"/>
    <col min="9976" max="9976" width="26.6640625" style="20" customWidth="1"/>
    <col min="9977" max="9977" width="20.5546875" style="20" customWidth="1"/>
    <col min="9978" max="9978" width="17.33203125" style="20" customWidth="1"/>
    <col min="9979" max="9979" width="4.33203125" style="20" customWidth="1"/>
    <col min="9980" max="9980" width="16.5546875" style="20" customWidth="1"/>
    <col min="9981" max="10228" width="9.109375" style="20"/>
    <col min="10229" max="10229" width="19" style="20" customWidth="1"/>
    <col min="10230" max="10230" width="9.109375" style="20"/>
    <col min="10231" max="10231" width="5.109375" style="20" customWidth="1"/>
    <col min="10232" max="10232" width="26.6640625" style="20" customWidth="1"/>
    <col min="10233" max="10233" width="20.5546875" style="20" customWidth="1"/>
    <col min="10234" max="10234" width="17.33203125" style="20" customWidth="1"/>
    <col min="10235" max="10235" width="4.33203125" style="20" customWidth="1"/>
    <col min="10236" max="10236" width="16.5546875" style="20" customWidth="1"/>
    <col min="10237" max="10484" width="9.109375" style="20"/>
    <col min="10485" max="10485" width="19" style="20" customWidth="1"/>
    <col min="10486" max="10486" width="9.109375" style="20"/>
    <col min="10487" max="10487" width="5.109375" style="20" customWidth="1"/>
    <col min="10488" max="10488" width="26.6640625" style="20" customWidth="1"/>
    <col min="10489" max="10489" width="20.5546875" style="20" customWidth="1"/>
    <col min="10490" max="10490" width="17.33203125" style="20" customWidth="1"/>
    <col min="10491" max="10491" width="4.33203125" style="20" customWidth="1"/>
    <col min="10492" max="10492" width="16.5546875" style="20" customWidth="1"/>
    <col min="10493" max="10740" width="9.109375" style="20"/>
    <col min="10741" max="10741" width="19" style="20" customWidth="1"/>
    <col min="10742" max="10742" width="9.109375" style="20"/>
    <col min="10743" max="10743" width="5.109375" style="20" customWidth="1"/>
    <col min="10744" max="10744" width="26.6640625" style="20" customWidth="1"/>
    <col min="10745" max="10745" width="20.5546875" style="20" customWidth="1"/>
    <col min="10746" max="10746" width="17.33203125" style="20" customWidth="1"/>
    <col min="10747" max="10747" width="4.33203125" style="20" customWidth="1"/>
    <col min="10748" max="10748" width="16.5546875" style="20" customWidth="1"/>
    <col min="10749" max="10996" width="9.109375" style="20"/>
    <col min="10997" max="10997" width="19" style="20" customWidth="1"/>
    <col min="10998" max="10998" width="9.109375" style="20"/>
    <col min="10999" max="10999" width="5.109375" style="20" customWidth="1"/>
    <col min="11000" max="11000" width="26.6640625" style="20" customWidth="1"/>
    <col min="11001" max="11001" width="20.5546875" style="20" customWidth="1"/>
    <col min="11002" max="11002" width="17.33203125" style="20" customWidth="1"/>
    <col min="11003" max="11003" width="4.33203125" style="20" customWidth="1"/>
    <col min="11004" max="11004" width="16.5546875" style="20" customWidth="1"/>
    <col min="11005" max="11252" width="9.109375" style="20"/>
    <col min="11253" max="11253" width="19" style="20" customWidth="1"/>
    <col min="11254" max="11254" width="9.109375" style="20"/>
    <col min="11255" max="11255" width="5.109375" style="20" customWidth="1"/>
    <col min="11256" max="11256" width="26.6640625" style="20" customWidth="1"/>
    <col min="11257" max="11257" width="20.5546875" style="20" customWidth="1"/>
    <col min="11258" max="11258" width="17.33203125" style="20" customWidth="1"/>
    <col min="11259" max="11259" width="4.33203125" style="20" customWidth="1"/>
    <col min="11260" max="11260" width="16.5546875" style="20" customWidth="1"/>
    <col min="11261" max="11508" width="9.109375" style="20"/>
    <col min="11509" max="11509" width="19" style="20" customWidth="1"/>
    <col min="11510" max="11510" width="9.109375" style="20"/>
    <col min="11511" max="11511" width="5.109375" style="20" customWidth="1"/>
    <col min="11512" max="11512" width="26.6640625" style="20" customWidth="1"/>
    <col min="11513" max="11513" width="20.5546875" style="20" customWidth="1"/>
    <col min="11514" max="11514" width="17.33203125" style="20" customWidth="1"/>
    <col min="11515" max="11515" width="4.33203125" style="20" customWidth="1"/>
    <col min="11516" max="11516" width="16.5546875" style="20" customWidth="1"/>
    <col min="11517" max="11764" width="9.109375" style="20"/>
    <col min="11765" max="11765" width="19" style="20" customWidth="1"/>
    <col min="11766" max="11766" width="9.109375" style="20"/>
    <col min="11767" max="11767" width="5.109375" style="20" customWidth="1"/>
    <col min="11768" max="11768" width="26.6640625" style="20" customWidth="1"/>
    <col min="11769" max="11769" width="20.5546875" style="20" customWidth="1"/>
    <col min="11770" max="11770" width="17.33203125" style="20" customWidth="1"/>
    <col min="11771" max="11771" width="4.33203125" style="20" customWidth="1"/>
    <col min="11772" max="11772" width="16.5546875" style="20" customWidth="1"/>
    <col min="11773" max="12020" width="9.109375" style="20"/>
    <col min="12021" max="12021" width="19" style="20" customWidth="1"/>
    <col min="12022" max="12022" width="9.109375" style="20"/>
    <col min="12023" max="12023" width="5.109375" style="20" customWidth="1"/>
    <col min="12024" max="12024" width="26.6640625" style="20" customWidth="1"/>
    <col min="12025" max="12025" width="20.5546875" style="20" customWidth="1"/>
    <col min="12026" max="12026" width="17.33203125" style="20" customWidth="1"/>
    <col min="12027" max="12027" width="4.33203125" style="20" customWidth="1"/>
    <col min="12028" max="12028" width="16.5546875" style="20" customWidth="1"/>
    <col min="12029" max="12276" width="9.109375" style="20"/>
    <col min="12277" max="12277" width="19" style="20" customWidth="1"/>
    <col min="12278" max="12278" width="9.109375" style="20"/>
    <col min="12279" max="12279" width="5.109375" style="20" customWidth="1"/>
    <col min="12280" max="12280" width="26.6640625" style="20" customWidth="1"/>
    <col min="12281" max="12281" width="20.5546875" style="20" customWidth="1"/>
    <col min="12282" max="12282" width="17.33203125" style="20" customWidth="1"/>
    <col min="12283" max="12283" width="4.33203125" style="20" customWidth="1"/>
    <col min="12284" max="12284" width="16.5546875" style="20" customWidth="1"/>
    <col min="12285" max="12532" width="9.109375" style="20"/>
    <col min="12533" max="12533" width="19" style="20" customWidth="1"/>
    <col min="12534" max="12534" width="9.109375" style="20"/>
    <col min="12535" max="12535" width="5.109375" style="20" customWidth="1"/>
    <col min="12536" max="12536" width="26.6640625" style="20" customWidth="1"/>
    <col min="12537" max="12537" width="20.5546875" style="20" customWidth="1"/>
    <col min="12538" max="12538" width="17.33203125" style="20" customWidth="1"/>
    <col min="12539" max="12539" width="4.33203125" style="20" customWidth="1"/>
    <col min="12540" max="12540" width="16.5546875" style="20" customWidth="1"/>
    <col min="12541" max="12788" width="9.109375" style="20"/>
    <col min="12789" max="12789" width="19" style="20" customWidth="1"/>
    <col min="12790" max="12790" width="9.109375" style="20"/>
    <col min="12791" max="12791" width="5.109375" style="20" customWidth="1"/>
    <col min="12792" max="12792" width="26.6640625" style="20" customWidth="1"/>
    <col min="12793" max="12793" width="20.5546875" style="20" customWidth="1"/>
    <col min="12794" max="12794" width="17.33203125" style="20" customWidth="1"/>
    <col min="12795" max="12795" width="4.33203125" style="20" customWidth="1"/>
    <col min="12796" max="12796" width="16.5546875" style="20" customWidth="1"/>
    <col min="12797" max="13044" width="9.109375" style="20"/>
    <col min="13045" max="13045" width="19" style="20" customWidth="1"/>
    <col min="13046" max="13046" width="9.109375" style="20"/>
    <col min="13047" max="13047" width="5.109375" style="20" customWidth="1"/>
    <col min="13048" max="13048" width="26.6640625" style="20" customWidth="1"/>
    <col min="13049" max="13049" width="20.5546875" style="20" customWidth="1"/>
    <col min="13050" max="13050" width="17.33203125" style="20" customWidth="1"/>
    <col min="13051" max="13051" width="4.33203125" style="20" customWidth="1"/>
    <col min="13052" max="13052" width="16.5546875" style="20" customWidth="1"/>
    <col min="13053" max="13300" width="9.109375" style="20"/>
    <col min="13301" max="13301" width="19" style="20" customWidth="1"/>
    <col min="13302" max="13302" width="9.109375" style="20"/>
    <col min="13303" max="13303" width="5.109375" style="20" customWidth="1"/>
    <col min="13304" max="13304" width="26.6640625" style="20" customWidth="1"/>
    <col min="13305" max="13305" width="20.5546875" style="20" customWidth="1"/>
    <col min="13306" max="13306" width="17.33203125" style="20" customWidth="1"/>
    <col min="13307" max="13307" width="4.33203125" style="20" customWidth="1"/>
    <col min="13308" max="13308" width="16.5546875" style="20" customWidth="1"/>
    <col min="13309" max="13556" width="9.109375" style="20"/>
    <col min="13557" max="13557" width="19" style="20" customWidth="1"/>
    <col min="13558" max="13558" width="9.109375" style="20"/>
    <col min="13559" max="13559" width="5.109375" style="20" customWidth="1"/>
    <col min="13560" max="13560" width="26.6640625" style="20" customWidth="1"/>
    <col min="13561" max="13561" width="20.5546875" style="20" customWidth="1"/>
    <col min="13562" max="13562" width="17.33203125" style="20" customWidth="1"/>
    <col min="13563" max="13563" width="4.33203125" style="20" customWidth="1"/>
    <col min="13564" max="13564" width="16.5546875" style="20" customWidth="1"/>
    <col min="13565" max="13812" width="9.109375" style="20"/>
    <col min="13813" max="13813" width="19" style="20" customWidth="1"/>
    <col min="13814" max="13814" width="9.109375" style="20"/>
    <col min="13815" max="13815" width="5.109375" style="20" customWidth="1"/>
    <col min="13816" max="13816" width="26.6640625" style="20" customWidth="1"/>
    <col min="13817" max="13817" width="20.5546875" style="20" customWidth="1"/>
    <col min="13818" max="13818" width="17.33203125" style="20" customWidth="1"/>
    <col min="13819" max="13819" width="4.33203125" style="20" customWidth="1"/>
    <col min="13820" max="13820" width="16.5546875" style="20" customWidth="1"/>
    <col min="13821" max="14068" width="9.109375" style="20"/>
    <col min="14069" max="14069" width="19" style="20" customWidth="1"/>
    <col min="14070" max="14070" width="9.109375" style="20"/>
    <col min="14071" max="14071" width="5.109375" style="20" customWidth="1"/>
    <col min="14072" max="14072" width="26.6640625" style="20" customWidth="1"/>
    <col min="14073" max="14073" width="20.5546875" style="20" customWidth="1"/>
    <col min="14074" max="14074" width="17.33203125" style="20" customWidth="1"/>
    <col min="14075" max="14075" width="4.33203125" style="20" customWidth="1"/>
    <col min="14076" max="14076" width="16.5546875" style="20" customWidth="1"/>
    <col min="14077" max="14324" width="9.109375" style="20"/>
    <col min="14325" max="14325" width="19" style="20" customWidth="1"/>
    <col min="14326" max="14326" width="9.109375" style="20"/>
    <col min="14327" max="14327" width="5.109375" style="20" customWidth="1"/>
    <col min="14328" max="14328" width="26.6640625" style="20" customWidth="1"/>
    <col min="14329" max="14329" width="20.5546875" style="20" customWidth="1"/>
    <col min="14330" max="14330" width="17.33203125" style="20" customWidth="1"/>
    <col min="14331" max="14331" width="4.33203125" style="20" customWidth="1"/>
    <col min="14332" max="14332" width="16.5546875" style="20" customWidth="1"/>
    <col min="14333" max="14580" width="9.109375" style="20"/>
    <col min="14581" max="14581" width="19" style="20" customWidth="1"/>
    <col min="14582" max="14582" width="9.109375" style="20"/>
    <col min="14583" max="14583" width="5.109375" style="20" customWidth="1"/>
    <col min="14584" max="14584" width="26.6640625" style="20" customWidth="1"/>
    <col min="14585" max="14585" width="20.5546875" style="20" customWidth="1"/>
    <col min="14586" max="14586" width="17.33203125" style="20" customWidth="1"/>
    <col min="14587" max="14587" width="4.33203125" style="20" customWidth="1"/>
    <col min="14588" max="14588" width="16.5546875" style="20" customWidth="1"/>
    <col min="14589" max="14836" width="9.109375" style="20"/>
    <col min="14837" max="14837" width="19" style="20" customWidth="1"/>
    <col min="14838" max="14838" width="9.109375" style="20"/>
    <col min="14839" max="14839" width="5.109375" style="20" customWidth="1"/>
    <col min="14840" max="14840" width="26.6640625" style="20" customWidth="1"/>
    <col min="14841" max="14841" width="20.5546875" style="20" customWidth="1"/>
    <col min="14842" max="14842" width="17.33203125" style="20" customWidth="1"/>
    <col min="14843" max="14843" width="4.33203125" style="20" customWidth="1"/>
    <col min="14844" max="14844" width="16.5546875" style="20" customWidth="1"/>
    <col min="14845" max="15092" width="9.109375" style="20"/>
    <col min="15093" max="15093" width="19" style="20" customWidth="1"/>
    <col min="15094" max="15094" width="9.109375" style="20"/>
    <col min="15095" max="15095" width="5.109375" style="20" customWidth="1"/>
    <col min="15096" max="15096" width="26.6640625" style="20" customWidth="1"/>
    <col min="15097" max="15097" width="20.5546875" style="20" customWidth="1"/>
    <col min="15098" max="15098" width="17.33203125" style="20" customWidth="1"/>
    <col min="15099" max="15099" width="4.33203125" style="20" customWidth="1"/>
    <col min="15100" max="15100" width="16.5546875" style="20" customWidth="1"/>
    <col min="15101" max="15348" width="9.109375" style="20"/>
    <col min="15349" max="15349" width="19" style="20" customWidth="1"/>
    <col min="15350" max="15350" width="9.109375" style="20"/>
    <col min="15351" max="15351" width="5.109375" style="20" customWidth="1"/>
    <col min="15352" max="15352" width="26.6640625" style="20" customWidth="1"/>
    <col min="15353" max="15353" width="20.5546875" style="20" customWidth="1"/>
    <col min="15354" max="15354" width="17.33203125" style="20" customWidth="1"/>
    <col min="15355" max="15355" width="4.33203125" style="20" customWidth="1"/>
    <col min="15356" max="15356" width="16.5546875" style="20" customWidth="1"/>
    <col min="15357" max="15604" width="9.109375" style="20"/>
    <col min="15605" max="15605" width="19" style="20" customWidth="1"/>
    <col min="15606" max="15606" width="9.109375" style="20"/>
    <col min="15607" max="15607" width="5.109375" style="20" customWidth="1"/>
    <col min="15608" max="15608" width="26.6640625" style="20" customWidth="1"/>
    <col min="15609" max="15609" width="20.5546875" style="20" customWidth="1"/>
    <col min="15610" max="15610" width="17.33203125" style="20" customWidth="1"/>
    <col min="15611" max="15611" width="4.33203125" style="20" customWidth="1"/>
    <col min="15612" max="15612" width="16.5546875" style="20" customWidth="1"/>
    <col min="15613" max="15860" width="9.109375" style="20"/>
    <col min="15861" max="15861" width="19" style="20" customWidth="1"/>
    <col min="15862" max="15862" width="9.109375" style="20"/>
    <col min="15863" max="15863" width="5.109375" style="20" customWidth="1"/>
    <col min="15864" max="15864" width="26.6640625" style="20" customWidth="1"/>
    <col min="15865" max="15865" width="20.5546875" style="20" customWidth="1"/>
    <col min="15866" max="15866" width="17.33203125" style="20" customWidth="1"/>
    <col min="15867" max="15867" width="4.33203125" style="20" customWidth="1"/>
    <col min="15868" max="15868" width="16.5546875" style="20" customWidth="1"/>
    <col min="15869" max="16116" width="9.109375" style="20"/>
    <col min="16117" max="16117" width="19" style="20" customWidth="1"/>
    <col min="16118" max="16118" width="9.109375" style="20"/>
    <col min="16119" max="16119" width="5.109375" style="20" customWidth="1"/>
    <col min="16120" max="16120" width="26.6640625" style="20" customWidth="1"/>
    <col min="16121" max="16121" width="20.5546875" style="20" customWidth="1"/>
    <col min="16122" max="16122" width="17.33203125" style="20" customWidth="1"/>
    <col min="16123" max="16123" width="4.33203125" style="20" customWidth="1"/>
    <col min="16124" max="16124" width="16.5546875" style="20" customWidth="1"/>
    <col min="16125" max="16384" width="9.109375" style="20"/>
  </cols>
  <sheetData>
    <row r="1" spans="1:20" ht="15" thickBot="1" x14ac:dyDescent="0.35">
      <c r="B1" s="138"/>
      <c r="C1" s="138"/>
      <c r="D1" s="138"/>
      <c r="E1" s="138"/>
      <c r="F1" s="138"/>
      <c r="G1" s="138"/>
      <c r="H1" s="138"/>
    </row>
    <row r="2" spans="1:20" ht="15" thickBot="1" x14ac:dyDescent="0.35">
      <c r="B2" s="318" t="s">
        <v>428</v>
      </c>
      <c r="C2" s="319"/>
      <c r="D2" s="319"/>
      <c r="E2" s="319"/>
      <c r="F2" s="320"/>
      <c r="G2" s="139"/>
      <c r="H2" s="138"/>
      <c r="R2" s="278" t="s">
        <v>433</v>
      </c>
    </row>
    <row r="3" spans="1:20" x14ac:dyDescent="0.3">
      <c r="B3" s="138"/>
      <c r="C3" s="140"/>
      <c r="D3" s="140"/>
      <c r="E3" s="140"/>
      <c r="F3" s="140"/>
      <c r="G3" s="140"/>
      <c r="H3" s="138"/>
      <c r="M3" s="278" t="s">
        <v>440</v>
      </c>
    </row>
    <row r="5" spans="1:20" ht="25.5" customHeight="1" x14ac:dyDescent="0.3">
      <c r="B5" s="138"/>
      <c r="C5" s="138"/>
      <c r="D5" s="138"/>
      <c r="E5" s="138"/>
      <c r="F5" s="138"/>
      <c r="G5" s="138"/>
      <c r="H5" s="138"/>
    </row>
    <row r="6" spans="1:20" ht="24" x14ac:dyDescent="0.3">
      <c r="B6" s="321" t="s">
        <v>198</v>
      </c>
      <c r="C6" s="322"/>
      <c r="D6" s="141" t="s">
        <v>199</v>
      </c>
      <c r="E6" s="142" t="s">
        <v>429</v>
      </c>
      <c r="F6" s="141" t="s">
        <v>200</v>
      </c>
      <c r="G6" s="139"/>
      <c r="H6" s="138"/>
      <c r="P6" s="284" t="s">
        <v>434</v>
      </c>
      <c r="Q6" s="284" t="s">
        <v>441</v>
      </c>
      <c r="R6" s="284" t="s">
        <v>442</v>
      </c>
      <c r="S6" s="284" t="s">
        <v>443</v>
      </c>
      <c r="T6" s="284" t="s">
        <v>444</v>
      </c>
    </row>
    <row r="7" spans="1:20" s="41" customFormat="1" ht="30" customHeight="1" thickBot="1" x14ac:dyDescent="0.35">
      <c r="A7"/>
      <c r="B7" s="323" t="s">
        <v>430</v>
      </c>
      <c r="C7" s="324"/>
      <c r="D7" s="143">
        <f>+F14</f>
        <v>35131175.807999998</v>
      </c>
      <c r="E7" s="144">
        <v>746.43</v>
      </c>
      <c r="F7" s="145">
        <f>+D7/E7</f>
        <v>47065.599999999999</v>
      </c>
      <c r="G7" s="138"/>
      <c r="H7" s="146">
        <f>+F7</f>
        <v>47065.599999999999</v>
      </c>
      <c r="I7"/>
      <c r="J7"/>
      <c r="K7"/>
      <c r="L7" s="284" t="s">
        <v>434</v>
      </c>
      <c r="M7" s="288" t="s">
        <v>435</v>
      </c>
      <c r="N7" s="289" t="s">
        <v>436</v>
      </c>
      <c r="O7"/>
      <c r="P7" s="285" t="s">
        <v>445</v>
      </c>
      <c r="Q7" s="281">
        <v>3169.18</v>
      </c>
      <c r="R7" s="281">
        <v>507.06880000000001</v>
      </c>
      <c r="S7" s="281">
        <v>3676.2488000000003</v>
      </c>
      <c r="T7" s="281">
        <v>389.95</v>
      </c>
    </row>
    <row r="8" spans="1:20" ht="21.75" customHeight="1" x14ac:dyDescent="0.3">
      <c r="B8" s="138"/>
      <c r="C8" s="138"/>
      <c r="D8" s="147">
        <v>0</v>
      </c>
      <c r="E8" s="147" t="s">
        <v>201</v>
      </c>
      <c r="F8" s="138"/>
      <c r="G8" s="138"/>
      <c r="H8" s="138"/>
      <c r="K8" s="278">
        <v>1</v>
      </c>
      <c r="L8" s="279" t="s">
        <v>263</v>
      </c>
      <c r="M8" s="280">
        <v>634.05000000000007</v>
      </c>
      <c r="N8" s="280">
        <v>234.05</v>
      </c>
      <c r="P8" s="282">
        <v>46233</v>
      </c>
      <c r="Q8" s="281">
        <v>2938.5099999999998</v>
      </c>
      <c r="R8" s="281">
        <v>470.16160000000002</v>
      </c>
      <c r="S8" s="281">
        <v>3408.6716000000001</v>
      </c>
      <c r="T8" s="281">
        <v>362.27</v>
      </c>
    </row>
    <row r="9" spans="1:20" ht="21.75" customHeight="1" x14ac:dyDescent="0.3">
      <c r="B9" s="138"/>
      <c r="C9" s="138"/>
      <c r="D9" s="138"/>
      <c r="E9" s="138"/>
      <c r="F9" s="138"/>
      <c r="G9" s="138"/>
      <c r="H9" s="138"/>
      <c r="K9" s="278">
        <v>2</v>
      </c>
      <c r="L9" s="279" t="s">
        <v>261</v>
      </c>
      <c r="M9" s="280">
        <v>324.22000000000003</v>
      </c>
      <c r="N9" s="280">
        <v>324.22000000000003</v>
      </c>
      <c r="P9" s="283" t="s">
        <v>446</v>
      </c>
      <c r="Q9" s="281">
        <v>562.29999999999995</v>
      </c>
      <c r="R9" s="281">
        <v>89.967999999999989</v>
      </c>
      <c r="S9" s="281">
        <v>652.26799999999992</v>
      </c>
      <c r="T9" s="281">
        <v>74.510000000000005</v>
      </c>
    </row>
    <row r="10" spans="1:20" ht="21.75" customHeight="1" x14ac:dyDescent="0.3">
      <c r="B10" s="138"/>
      <c r="C10" s="138"/>
      <c r="D10" s="138"/>
      <c r="E10" s="148" t="s">
        <v>165</v>
      </c>
      <c r="F10" s="138"/>
      <c r="G10" s="138"/>
      <c r="H10" s="147"/>
      <c r="K10" s="278">
        <v>3</v>
      </c>
      <c r="L10" s="279" t="s">
        <v>255</v>
      </c>
      <c r="M10" s="280">
        <v>9.48</v>
      </c>
      <c r="N10" s="280">
        <v>9.48</v>
      </c>
      <c r="P10" s="283" t="s">
        <v>447</v>
      </c>
      <c r="Q10" s="281">
        <v>207.75</v>
      </c>
      <c r="R10" s="281">
        <v>33.24</v>
      </c>
      <c r="S10" s="281">
        <v>240.99</v>
      </c>
      <c r="T10" s="281">
        <v>27.53</v>
      </c>
    </row>
    <row r="11" spans="1:20" ht="16.5" customHeight="1" x14ac:dyDescent="0.3">
      <c r="B11" s="138"/>
      <c r="C11" s="138"/>
      <c r="D11" s="149" t="s">
        <v>431</v>
      </c>
      <c r="E11" s="150">
        <f>+'[1]Detalles del reporte'!I27</f>
        <v>57238.53</v>
      </c>
      <c r="F11" s="138"/>
      <c r="K11" s="278">
        <v>4</v>
      </c>
      <c r="L11" s="279" t="s">
        <v>260</v>
      </c>
      <c r="M11" s="280">
        <v>5647.1</v>
      </c>
      <c r="N11" s="280">
        <v>5647.1</v>
      </c>
      <c r="P11" s="283" t="s">
        <v>448</v>
      </c>
      <c r="Q11" s="281">
        <v>162.91999999999999</v>
      </c>
      <c r="R11" s="281">
        <v>26.0672</v>
      </c>
      <c r="S11" s="281">
        <v>188.98719999999997</v>
      </c>
      <c r="T11" s="281">
        <v>19.55</v>
      </c>
    </row>
    <row r="12" spans="1:20" ht="22.5" customHeight="1" x14ac:dyDescent="0.3">
      <c r="B12" s="138"/>
      <c r="C12" s="138"/>
      <c r="D12" s="149" t="s">
        <v>191</v>
      </c>
      <c r="E12" s="150">
        <v>-46470.05</v>
      </c>
      <c r="F12" s="138"/>
      <c r="K12" s="278">
        <v>5</v>
      </c>
      <c r="L12" s="279" t="s">
        <v>186</v>
      </c>
      <c r="M12" s="280">
        <v>559.38</v>
      </c>
      <c r="N12" s="280">
        <v>116.7</v>
      </c>
      <c r="P12" s="283" t="s">
        <v>449</v>
      </c>
      <c r="Q12" s="281">
        <v>36.72</v>
      </c>
      <c r="R12" s="281">
        <v>5.8751999999999995</v>
      </c>
      <c r="S12" s="281">
        <v>42.595199999999998</v>
      </c>
      <c r="T12" s="281">
        <v>4.41</v>
      </c>
    </row>
    <row r="13" spans="1:20" ht="18" customHeight="1" x14ac:dyDescent="0.3">
      <c r="B13" s="138"/>
      <c r="C13" s="138"/>
      <c r="D13" s="149" t="s">
        <v>432</v>
      </c>
      <c r="E13" s="150">
        <v>36297.120000000003</v>
      </c>
      <c r="F13" s="138"/>
      <c r="K13" s="278">
        <v>6</v>
      </c>
      <c r="L13" s="279" t="s">
        <v>259</v>
      </c>
      <c r="M13" s="280">
        <v>564.20999999999992</v>
      </c>
      <c r="N13" s="280">
        <v>564.20999999999992</v>
      </c>
      <c r="P13" s="283" t="s">
        <v>450</v>
      </c>
      <c r="Q13" s="281">
        <v>357.74</v>
      </c>
      <c r="R13" s="281">
        <v>57.238399999999999</v>
      </c>
      <c r="S13" s="281">
        <v>414.97840000000008</v>
      </c>
      <c r="T13" s="281">
        <v>42.93</v>
      </c>
    </row>
    <row r="14" spans="1:20" ht="19.5" customHeight="1" thickBot="1" x14ac:dyDescent="0.35">
      <c r="D14" s="149" t="s">
        <v>202</v>
      </c>
      <c r="E14" s="274">
        <f>SUM(E11:E13)</f>
        <v>47065.599999999999</v>
      </c>
      <c r="F14" s="275">
        <f>+E14*E7</f>
        <v>35131175.807999998</v>
      </c>
      <c r="K14" s="278">
        <v>7</v>
      </c>
      <c r="L14" s="279" t="s">
        <v>256</v>
      </c>
      <c r="M14" s="280">
        <v>586.34</v>
      </c>
      <c r="N14" s="280">
        <v>586.34</v>
      </c>
      <c r="P14" s="283" t="s">
        <v>451</v>
      </c>
      <c r="Q14" s="281">
        <v>229.3</v>
      </c>
      <c r="R14" s="281">
        <v>36.688000000000002</v>
      </c>
      <c r="S14" s="281">
        <v>265.988</v>
      </c>
      <c r="T14" s="281">
        <v>27.52</v>
      </c>
    </row>
    <row r="15" spans="1:20" ht="18.75" customHeight="1" thickTop="1" x14ac:dyDescent="0.3">
      <c r="D15" s="138"/>
      <c r="E15" s="138"/>
      <c r="F15" s="138"/>
      <c r="K15" s="278">
        <v>8</v>
      </c>
      <c r="L15" s="279" t="s">
        <v>269</v>
      </c>
      <c r="M15" s="280">
        <v>393.39</v>
      </c>
      <c r="N15" s="280">
        <v>393.39</v>
      </c>
      <c r="P15" s="283" t="s">
        <v>452</v>
      </c>
      <c r="Q15" s="281">
        <v>672.36</v>
      </c>
      <c r="R15" s="281">
        <v>107.5776</v>
      </c>
      <c r="S15" s="281">
        <v>779.93759999999997</v>
      </c>
      <c r="T15" s="281">
        <v>80.69</v>
      </c>
    </row>
    <row r="16" spans="1:20" x14ac:dyDescent="0.3">
      <c r="D16" s="20"/>
      <c r="E16" s="20"/>
      <c r="K16" s="278">
        <v>9</v>
      </c>
      <c r="L16" s="279" t="s">
        <v>437</v>
      </c>
      <c r="M16" s="280">
        <v>7517.5999999999995</v>
      </c>
      <c r="N16" s="280">
        <v>5681.54</v>
      </c>
      <c r="P16" s="283" t="s">
        <v>270</v>
      </c>
      <c r="Q16" s="281">
        <v>491.78</v>
      </c>
      <c r="R16" s="281">
        <v>78.684799999999996</v>
      </c>
      <c r="S16" s="281">
        <v>570.46479999999997</v>
      </c>
      <c r="T16" s="281">
        <v>59.010000000000005</v>
      </c>
    </row>
    <row r="17" spans="5:20" x14ac:dyDescent="0.3">
      <c r="E17" s="151"/>
      <c r="K17" s="278">
        <v>10</v>
      </c>
      <c r="L17" s="279" t="s">
        <v>264</v>
      </c>
      <c r="M17" s="280">
        <v>521.26</v>
      </c>
      <c r="N17" s="280">
        <v>521.26</v>
      </c>
      <c r="P17" s="283" t="s">
        <v>453</v>
      </c>
      <c r="Q17" s="281">
        <v>12</v>
      </c>
      <c r="R17" s="281">
        <v>1.92</v>
      </c>
      <c r="S17" s="281">
        <v>13.92</v>
      </c>
      <c r="T17" s="281">
        <v>1.44</v>
      </c>
    </row>
    <row r="18" spans="5:20" x14ac:dyDescent="0.3">
      <c r="K18" s="278">
        <v>11</v>
      </c>
      <c r="L18" s="279" t="s">
        <v>262</v>
      </c>
      <c r="M18" s="280">
        <v>723.77</v>
      </c>
      <c r="N18" s="280">
        <v>583.52</v>
      </c>
      <c r="P18" s="283" t="s">
        <v>454</v>
      </c>
      <c r="Q18" s="281">
        <v>205.64</v>
      </c>
      <c r="R18" s="281">
        <v>32.9024</v>
      </c>
      <c r="S18" s="281">
        <v>238.54239999999999</v>
      </c>
      <c r="T18" s="281">
        <v>24.68</v>
      </c>
    </row>
    <row r="19" spans="5:20" x14ac:dyDescent="0.3">
      <c r="K19" s="278">
        <v>12</v>
      </c>
      <c r="L19" s="279" t="s">
        <v>267</v>
      </c>
      <c r="M19" s="280">
        <v>534</v>
      </c>
      <c r="N19" s="280">
        <v>534</v>
      </c>
      <c r="P19" s="282">
        <v>46232</v>
      </c>
      <c r="Q19" s="281">
        <v>230.67</v>
      </c>
      <c r="R19" s="281">
        <v>36.907199999999996</v>
      </c>
      <c r="S19" s="281">
        <v>267.5772</v>
      </c>
      <c r="T19" s="281">
        <v>27.68</v>
      </c>
    </row>
    <row r="20" spans="5:20" x14ac:dyDescent="0.3">
      <c r="F20" s="276"/>
      <c r="K20" s="278">
        <v>13</v>
      </c>
      <c r="L20" s="279" t="s">
        <v>257</v>
      </c>
      <c r="M20" s="280">
        <v>165.2</v>
      </c>
      <c r="N20" s="280">
        <v>165.2</v>
      </c>
      <c r="P20" s="283" t="s">
        <v>455</v>
      </c>
      <c r="Q20" s="281">
        <v>230.67</v>
      </c>
      <c r="R20" s="281">
        <v>36.907199999999996</v>
      </c>
      <c r="S20" s="281">
        <v>267.5772</v>
      </c>
      <c r="T20" s="281">
        <v>27.68</v>
      </c>
    </row>
    <row r="21" spans="5:20" x14ac:dyDescent="0.3">
      <c r="K21" s="278">
        <v>14</v>
      </c>
      <c r="L21" s="279" t="s">
        <v>438</v>
      </c>
      <c r="M21" s="280">
        <v>255.88</v>
      </c>
      <c r="N21" s="280">
        <v>255.88</v>
      </c>
      <c r="P21" s="285" t="s">
        <v>456</v>
      </c>
      <c r="Q21" s="281">
        <v>324.12</v>
      </c>
      <c r="R21" s="281">
        <v>51.859200000000001</v>
      </c>
      <c r="S21" s="281">
        <v>375.97919999999999</v>
      </c>
      <c r="T21" s="281">
        <v>90.83</v>
      </c>
    </row>
    <row r="22" spans="5:20" x14ac:dyDescent="0.3">
      <c r="K22" s="278">
        <v>15</v>
      </c>
      <c r="L22" s="279" t="s">
        <v>254</v>
      </c>
      <c r="M22" s="280">
        <v>98.28</v>
      </c>
      <c r="N22" s="280">
        <v>48.28</v>
      </c>
      <c r="P22" s="282">
        <v>46233</v>
      </c>
      <c r="Q22" s="281">
        <v>324.12</v>
      </c>
      <c r="R22" s="281">
        <v>51.859200000000001</v>
      </c>
      <c r="S22" s="281">
        <v>375.97919999999999</v>
      </c>
      <c r="T22" s="281">
        <v>90.83</v>
      </c>
    </row>
    <row r="23" spans="5:20" x14ac:dyDescent="0.3">
      <c r="K23" s="278">
        <v>16</v>
      </c>
      <c r="L23" s="279" t="s">
        <v>265</v>
      </c>
      <c r="M23" s="280">
        <v>645.76</v>
      </c>
      <c r="N23" s="280">
        <v>645.76</v>
      </c>
      <c r="P23" s="283" t="s">
        <v>457</v>
      </c>
      <c r="Q23" s="281">
        <v>324.12</v>
      </c>
      <c r="R23" s="281">
        <v>51.859200000000001</v>
      </c>
      <c r="S23" s="281">
        <v>375.97919999999999</v>
      </c>
      <c r="T23" s="281">
        <v>90.83</v>
      </c>
    </row>
    <row r="24" spans="5:20" x14ac:dyDescent="0.3">
      <c r="K24" s="278">
        <v>17</v>
      </c>
      <c r="L24" s="279" t="s">
        <v>258</v>
      </c>
      <c r="M24" s="280">
        <v>2922.42</v>
      </c>
      <c r="N24" s="280">
        <v>2922.42</v>
      </c>
      <c r="P24" s="285" t="s">
        <v>458</v>
      </c>
      <c r="Q24" s="281">
        <v>744.13</v>
      </c>
      <c r="R24" s="281">
        <v>119.0608</v>
      </c>
      <c r="S24" s="281">
        <v>863.19079999999997</v>
      </c>
      <c r="T24" s="281">
        <v>773.89</v>
      </c>
    </row>
    <row r="25" spans="5:20" x14ac:dyDescent="0.3">
      <c r="K25" s="278">
        <v>18</v>
      </c>
      <c r="L25" s="279" t="s">
        <v>266</v>
      </c>
      <c r="M25" s="280">
        <v>219.36</v>
      </c>
      <c r="N25" s="280">
        <v>203.24</v>
      </c>
      <c r="P25" s="282">
        <v>46232</v>
      </c>
      <c r="Q25" s="281">
        <v>744.13</v>
      </c>
      <c r="R25" s="281">
        <v>119.0608</v>
      </c>
      <c r="S25" s="281">
        <v>863.19079999999997</v>
      </c>
      <c r="T25" s="281">
        <v>773.89</v>
      </c>
    </row>
    <row r="26" spans="5:20" x14ac:dyDescent="0.3">
      <c r="K26" s="278">
        <v>19</v>
      </c>
      <c r="L26" s="279" t="s">
        <v>268</v>
      </c>
      <c r="M26" s="280">
        <v>90.2</v>
      </c>
      <c r="N26" s="280">
        <v>90.2</v>
      </c>
      <c r="P26" s="283" t="s">
        <v>459</v>
      </c>
      <c r="Q26" s="281">
        <v>744.13</v>
      </c>
      <c r="R26" s="281">
        <v>119.0608</v>
      </c>
      <c r="S26" s="281">
        <v>863.19079999999997</v>
      </c>
      <c r="T26" s="281">
        <v>773.89</v>
      </c>
    </row>
    <row r="27" spans="5:20" x14ac:dyDescent="0.3">
      <c r="K27" s="278">
        <v>20</v>
      </c>
      <c r="L27" s="279" t="s">
        <v>439</v>
      </c>
      <c r="M27" s="280">
        <v>4.4400000000000004</v>
      </c>
      <c r="N27" s="280">
        <v>4.12</v>
      </c>
      <c r="P27" s="285" t="s">
        <v>67</v>
      </c>
      <c r="Q27" s="286">
        <v>4237.4299999999994</v>
      </c>
      <c r="R27" s="286">
        <v>677.98879999999997</v>
      </c>
      <c r="S27" s="286">
        <v>4915.4188000000004</v>
      </c>
      <c r="T27" s="286">
        <v>1254.67</v>
      </c>
    </row>
    <row r="28" spans="5:20" ht="15.75" customHeight="1" x14ac:dyDescent="0.3">
      <c r="L28" s="285" t="s">
        <v>67</v>
      </c>
      <c r="M28" s="287">
        <v>22416.339999999997</v>
      </c>
      <c r="N28" s="287">
        <v>19530.910000000003</v>
      </c>
    </row>
    <row r="32" spans="5:20" ht="15" customHeight="1" x14ac:dyDescent="0.3"/>
  </sheetData>
  <mergeCells count="3">
    <mergeCell ref="B2:F2"/>
    <mergeCell ref="B6:C6"/>
    <mergeCell ref="B7:C7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3BA2-695A-4793-88BB-82DC04E7163D}">
  <sheetPr codeName="Hoja7"/>
  <dimension ref="A1:Q87"/>
  <sheetViews>
    <sheetView workbookViewId="0">
      <selection sqref="A1:Q87"/>
    </sheetView>
  </sheetViews>
  <sheetFormatPr baseColWidth="10" defaultColWidth="9.109375" defaultRowHeight="14.4" x14ac:dyDescent="0.3"/>
  <cols>
    <col min="1" max="1" width="9.109375" customWidth="1"/>
    <col min="2" max="2" width="17.5546875" customWidth="1"/>
    <col min="3" max="3" width="14" customWidth="1"/>
    <col min="4" max="4" width="9.109375" customWidth="1"/>
    <col min="5" max="5" width="18.44140625" customWidth="1"/>
    <col min="6" max="6" width="19.6640625" customWidth="1"/>
    <col min="7" max="7" width="9.109375" customWidth="1"/>
    <col min="8" max="8" width="14.44140625" customWidth="1"/>
    <col min="9" max="9" width="9.109375" customWidth="1"/>
    <col min="10" max="10" width="18" customWidth="1"/>
    <col min="11" max="11" width="9.109375" customWidth="1"/>
    <col min="12" max="12" width="12.44140625" customWidth="1"/>
    <col min="13" max="13" width="16.88671875" customWidth="1"/>
    <col min="14" max="14" width="9.109375" customWidth="1"/>
    <col min="15" max="15" width="18.3320312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18</v>
      </c>
      <c r="F1" t="s">
        <v>11</v>
      </c>
      <c r="G1" t="s">
        <v>6</v>
      </c>
      <c r="H1" t="s">
        <v>12</v>
      </c>
      <c r="I1" t="s">
        <v>44</v>
      </c>
      <c r="J1" t="s">
        <v>2</v>
      </c>
      <c r="K1" t="s">
        <v>1</v>
      </c>
      <c r="L1" t="s">
        <v>13</v>
      </c>
      <c r="M1" t="s">
        <v>14</v>
      </c>
      <c r="N1" t="s">
        <v>15</v>
      </c>
      <c r="O1" t="s">
        <v>4</v>
      </c>
      <c r="P1" t="s">
        <v>5</v>
      </c>
      <c r="Q1" t="s">
        <v>36</v>
      </c>
    </row>
    <row r="2" spans="1:17" x14ac:dyDescent="0.3">
      <c r="B2" s="4">
        <v>44627</v>
      </c>
      <c r="C2" t="s">
        <v>53</v>
      </c>
      <c r="E2" t="s">
        <v>21</v>
      </c>
      <c r="F2">
        <v>114</v>
      </c>
      <c r="K2">
        <v>0</v>
      </c>
      <c r="M2">
        <v>0</v>
      </c>
      <c r="N2">
        <v>0</v>
      </c>
      <c r="O2">
        <v>1</v>
      </c>
      <c r="P2">
        <v>0</v>
      </c>
    </row>
    <row r="3" spans="1:17" x14ac:dyDescent="0.3">
      <c r="K3">
        <v>0</v>
      </c>
      <c r="M3">
        <v>0</v>
      </c>
      <c r="N3">
        <v>0</v>
      </c>
      <c r="O3">
        <v>1</v>
      </c>
      <c r="P3">
        <v>0</v>
      </c>
    </row>
    <row r="4" spans="1:17" x14ac:dyDescent="0.3">
      <c r="K4">
        <v>0</v>
      </c>
      <c r="M4">
        <v>0</v>
      </c>
      <c r="N4">
        <v>0</v>
      </c>
      <c r="O4">
        <v>1</v>
      </c>
      <c r="P4">
        <v>0</v>
      </c>
    </row>
    <row r="5" spans="1:17" x14ac:dyDescent="0.3">
      <c r="K5">
        <v>0</v>
      </c>
      <c r="M5">
        <v>0</v>
      </c>
      <c r="N5">
        <v>0</v>
      </c>
      <c r="O5">
        <v>1</v>
      </c>
      <c r="P5">
        <v>0</v>
      </c>
    </row>
    <row r="6" spans="1:17" x14ac:dyDescent="0.3">
      <c r="K6">
        <v>0</v>
      </c>
      <c r="M6">
        <v>0</v>
      </c>
      <c r="N6">
        <v>0</v>
      </c>
      <c r="O6">
        <v>1</v>
      </c>
      <c r="P6">
        <v>0</v>
      </c>
    </row>
    <row r="7" spans="1:17" x14ac:dyDescent="0.3">
      <c r="K7">
        <v>0</v>
      </c>
      <c r="M7">
        <v>0</v>
      </c>
      <c r="N7">
        <v>0</v>
      </c>
      <c r="O7">
        <v>1</v>
      </c>
      <c r="P7">
        <v>0</v>
      </c>
    </row>
    <row r="8" spans="1:17" x14ac:dyDescent="0.3">
      <c r="K8">
        <v>0</v>
      </c>
      <c r="M8">
        <v>0</v>
      </c>
      <c r="N8">
        <v>0</v>
      </c>
      <c r="O8">
        <v>1</v>
      </c>
      <c r="P8">
        <v>0</v>
      </c>
    </row>
    <row r="9" spans="1:17" x14ac:dyDescent="0.3">
      <c r="K9">
        <v>0</v>
      </c>
      <c r="M9">
        <v>0</v>
      </c>
      <c r="N9">
        <v>0</v>
      </c>
      <c r="O9">
        <v>1</v>
      </c>
      <c r="P9">
        <v>0</v>
      </c>
    </row>
    <row r="10" spans="1:17" x14ac:dyDescent="0.3">
      <c r="K10">
        <v>0</v>
      </c>
      <c r="M10">
        <v>0</v>
      </c>
      <c r="N10">
        <v>0</v>
      </c>
      <c r="O10">
        <v>1</v>
      </c>
      <c r="P10">
        <v>0</v>
      </c>
    </row>
    <row r="11" spans="1:17" x14ac:dyDescent="0.3">
      <c r="K11">
        <v>0</v>
      </c>
      <c r="M11">
        <v>0</v>
      </c>
      <c r="N11">
        <v>0</v>
      </c>
      <c r="O11">
        <v>1</v>
      </c>
      <c r="P11">
        <v>0</v>
      </c>
    </row>
    <row r="12" spans="1:17" x14ac:dyDescent="0.3">
      <c r="K12">
        <v>0</v>
      </c>
      <c r="M12">
        <v>0</v>
      </c>
      <c r="N12">
        <v>0</v>
      </c>
      <c r="O12">
        <v>1</v>
      </c>
      <c r="P12">
        <v>0</v>
      </c>
    </row>
    <row r="13" spans="1:17" x14ac:dyDescent="0.3">
      <c r="K13">
        <v>0</v>
      </c>
      <c r="M13">
        <v>0</v>
      </c>
      <c r="N13">
        <v>0</v>
      </c>
      <c r="O13">
        <v>1</v>
      </c>
      <c r="P13">
        <v>0</v>
      </c>
    </row>
    <row r="14" spans="1:17" x14ac:dyDescent="0.3">
      <c r="K14">
        <v>0</v>
      </c>
      <c r="M14">
        <v>0</v>
      </c>
      <c r="N14">
        <v>0</v>
      </c>
      <c r="O14">
        <v>1</v>
      </c>
      <c r="P14">
        <v>0</v>
      </c>
    </row>
    <row r="15" spans="1:17" x14ac:dyDescent="0.3">
      <c r="K15">
        <v>0</v>
      </c>
      <c r="M15">
        <v>0</v>
      </c>
      <c r="N15">
        <v>0</v>
      </c>
      <c r="O15">
        <v>1</v>
      </c>
      <c r="P15">
        <v>0</v>
      </c>
    </row>
    <row r="16" spans="1:17" x14ac:dyDescent="0.3">
      <c r="K16">
        <v>0</v>
      </c>
      <c r="M16">
        <v>0</v>
      </c>
      <c r="N16">
        <v>0</v>
      </c>
      <c r="O16">
        <v>1</v>
      </c>
      <c r="P16">
        <v>0</v>
      </c>
    </row>
    <row r="17" spans="11:16" x14ac:dyDescent="0.3">
      <c r="K17">
        <v>0</v>
      </c>
      <c r="M17">
        <v>0</v>
      </c>
      <c r="N17">
        <v>0</v>
      </c>
      <c r="O17">
        <v>1</v>
      </c>
      <c r="P17">
        <v>0</v>
      </c>
    </row>
    <row r="18" spans="11:16" x14ac:dyDescent="0.3">
      <c r="K18">
        <v>0</v>
      </c>
      <c r="M18">
        <v>0</v>
      </c>
      <c r="N18">
        <v>0</v>
      </c>
      <c r="O18">
        <v>1</v>
      </c>
      <c r="P18">
        <v>0</v>
      </c>
    </row>
    <row r="19" spans="11:16" x14ac:dyDescent="0.3">
      <c r="K19">
        <v>0</v>
      </c>
      <c r="M19">
        <v>0</v>
      </c>
      <c r="N19">
        <v>0</v>
      </c>
      <c r="O19">
        <v>1</v>
      </c>
      <c r="P19">
        <v>0</v>
      </c>
    </row>
    <row r="20" spans="11:16" x14ac:dyDescent="0.3">
      <c r="K20">
        <v>0</v>
      </c>
      <c r="M20">
        <v>0</v>
      </c>
      <c r="N20">
        <v>0</v>
      </c>
      <c r="O20">
        <v>1</v>
      </c>
      <c r="P20">
        <v>0</v>
      </c>
    </row>
    <row r="21" spans="11:16" x14ac:dyDescent="0.3">
      <c r="K21">
        <v>0</v>
      </c>
      <c r="M21">
        <v>0</v>
      </c>
      <c r="N21">
        <v>0</v>
      </c>
      <c r="O21">
        <v>1</v>
      </c>
      <c r="P21">
        <v>0</v>
      </c>
    </row>
    <row r="22" spans="11:16" x14ac:dyDescent="0.3">
      <c r="K22">
        <v>0</v>
      </c>
      <c r="M22">
        <v>0</v>
      </c>
      <c r="N22">
        <v>0</v>
      </c>
      <c r="O22">
        <v>1</v>
      </c>
      <c r="P22">
        <v>0</v>
      </c>
    </row>
    <row r="23" spans="11:16" x14ac:dyDescent="0.3">
      <c r="K23">
        <v>0</v>
      </c>
      <c r="M23">
        <v>0</v>
      </c>
      <c r="N23">
        <v>0</v>
      </c>
      <c r="O23">
        <v>1</v>
      </c>
      <c r="P23">
        <v>0</v>
      </c>
    </row>
    <row r="24" spans="11:16" x14ac:dyDescent="0.3">
      <c r="K24">
        <v>0</v>
      </c>
      <c r="M24">
        <v>0</v>
      </c>
      <c r="N24">
        <v>0</v>
      </c>
      <c r="O24">
        <v>1</v>
      </c>
      <c r="P24">
        <v>0</v>
      </c>
    </row>
    <row r="25" spans="11:16" x14ac:dyDescent="0.3">
      <c r="K25">
        <v>0</v>
      </c>
      <c r="M25">
        <v>0</v>
      </c>
      <c r="N25">
        <v>0</v>
      </c>
      <c r="O25">
        <v>1</v>
      </c>
      <c r="P25">
        <v>0</v>
      </c>
    </row>
    <row r="26" spans="11:16" x14ac:dyDescent="0.3">
      <c r="K26">
        <v>0</v>
      </c>
      <c r="M26">
        <v>0</v>
      </c>
      <c r="N26">
        <v>0</v>
      </c>
      <c r="O26">
        <v>1</v>
      </c>
      <c r="P26">
        <v>0</v>
      </c>
    </row>
    <row r="27" spans="11:16" x14ac:dyDescent="0.3">
      <c r="K27">
        <v>0</v>
      </c>
      <c r="M27">
        <v>0</v>
      </c>
      <c r="N27">
        <v>0</v>
      </c>
      <c r="O27">
        <v>1</v>
      </c>
      <c r="P27">
        <v>0</v>
      </c>
    </row>
    <row r="28" spans="11:16" x14ac:dyDescent="0.3">
      <c r="K28">
        <v>0</v>
      </c>
      <c r="M28">
        <v>0</v>
      </c>
      <c r="N28">
        <v>0</v>
      </c>
      <c r="O28">
        <v>1</v>
      </c>
      <c r="P28">
        <v>0</v>
      </c>
    </row>
    <row r="29" spans="11:16" x14ac:dyDescent="0.3">
      <c r="K29">
        <v>0</v>
      </c>
      <c r="M29">
        <v>0</v>
      </c>
      <c r="N29">
        <v>0</v>
      </c>
      <c r="O29">
        <v>1</v>
      </c>
      <c r="P29">
        <v>0</v>
      </c>
    </row>
    <row r="30" spans="11:16" x14ac:dyDescent="0.3">
      <c r="K30">
        <v>0</v>
      </c>
      <c r="M30">
        <v>0</v>
      </c>
      <c r="N30">
        <v>0</v>
      </c>
      <c r="O30">
        <v>1</v>
      </c>
      <c r="P30">
        <v>0</v>
      </c>
    </row>
    <row r="31" spans="11:16" x14ac:dyDescent="0.3">
      <c r="K31">
        <v>0</v>
      </c>
      <c r="M31">
        <v>0</v>
      </c>
      <c r="N31">
        <v>0</v>
      </c>
      <c r="O31">
        <v>1</v>
      </c>
      <c r="P31">
        <v>0</v>
      </c>
    </row>
    <row r="32" spans="11:16" x14ac:dyDescent="0.3">
      <c r="K32">
        <v>0</v>
      </c>
      <c r="M32">
        <v>0</v>
      </c>
      <c r="N32">
        <v>0</v>
      </c>
      <c r="O32">
        <v>1</v>
      </c>
      <c r="P32">
        <v>0</v>
      </c>
    </row>
    <row r="33" spans="11:16" x14ac:dyDescent="0.3">
      <c r="K33">
        <v>0</v>
      </c>
      <c r="M33">
        <v>0</v>
      </c>
      <c r="N33">
        <v>0</v>
      </c>
      <c r="O33">
        <v>1</v>
      </c>
      <c r="P33">
        <v>0</v>
      </c>
    </row>
    <row r="34" spans="11:16" x14ac:dyDescent="0.3">
      <c r="K34">
        <v>0</v>
      </c>
      <c r="M34">
        <v>0</v>
      </c>
      <c r="N34">
        <v>0</v>
      </c>
      <c r="O34">
        <v>1</v>
      </c>
      <c r="P34">
        <v>0</v>
      </c>
    </row>
    <row r="35" spans="11:16" x14ac:dyDescent="0.3">
      <c r="K35">
        <v>0</v>
      </c>
      <c r="M35">
        <v>0</v>
      </c>
      <c r="N35">
        <v>0</v>
      </c>
      <c r="O35">
        <v>1</v>
      </c>
      <c r="P35">
        <v>0</v>
      </c>
    </row>
    <row r="36" spans="11:16" x14ac:dyDescent="0.3">
      <c r="K36">
        <v>0</v>
      </c>
      <c r="M36">
        <v>0</v>
      </c>
      <c r="N36">
        <v>0</v>
      </c>
      <c r="O36">
        <v>1</v>
      </c>
      <c r="P36">
        <v>0</v>
      </c>
    </row>
    <row r="37" spans="11:16" x14ac:dyDescent="0.3">
      <c r="K37">
        <v>0</v>
      </c>
      <c r="M37">
        <v>0</v>
      </c>
      <c r="N37">
        <v>0</v>
      </c>
      <c r="O37">
        <v>1</v>
      </c>
      <c r="P37">
        <v>0</v>
      </c>
    </row>
    <row r="38" spans="11:16" x14ac:dyDescent="0.3">
      <c r="K38">
        <v>0</v>
      </c>
      <c r="M38">
        <v>0</v>
      </c>
      <c r="N38">
        <v>0</v>
      </c>
      <c r="O38">
        <v>1</v>
      </c>
      <c r="P38">
        <v>0</v>
      </c>
    </row>
    <row r="39" spans="11:16" x14ac:dyDescent="0.3">
      <c r="K39">
        <v>0</v>
      </c>
      <c r="M39">
        <v>0</v>
      </c>
      <c r="N39">
        <v>0</v>
      </c>
      <c r="O39">
        <v>1</v>
      </c>
      <c r="P39">
        <v>0</v>
      </c>
    </row>
    <row r="40" spans="11:16" x14ac:dyDescent="0.3">
      <c r="K40">
        <v>0</v>
      </c>
      <c r="M40">
        <v>0</v>
      </c>
      <c r="N40">
        <v>0</v>
      </c>
      <c r="O40">
        <v>1</v>
      </c>
      <c r="P40">
        <v>0</v>
      </c>
    </row>
    <row r="41" spans="11:16" x14ac:dyDescent="0.3">
      <c r="K41">
        <v>0</v>
      </c>
      <c r="M41">
        <v>0</v>
      </c>
      <c r="N41">
        <v>0</v>
      </c>
      <c r="O41">
        <v>1</v>
      </c>
      <c r="P41">
        <v>0</v>
      </c>
    </row>
    <row r="42" spans="11:16" x14ac:dyDescent="0.3">
      <c r="K42">
        <v>0</v>
      </c>
      <c r="M42">
        <v>0</v>
      </c>
      <c r="N42">
        <v>0</v>
      </c>
      <c r="O42">
        <v>1</v>
      </c>
      <c r="P42">
        <v>0</v>
      </c>
    </row>
    <row r="43" spans="11:16" x14ac:dyDescent="0.3">
      <c r="K43">
        <v>0</v>
      </c>
      <c r="M43">
        <v>0</v>
      </c>
      <c r="N43">
        <v>0</v>
      </c>
      <c r="O43">
        <v>1</v>
      </c>
      <c r="P43">
        <v>0</v>
      </c>
    </row>
    <row r="44" spans="11:16" x14ac:dyDescent="0.3">
      <c r="K44">
        <v>0</v>
      </c>
      <c r="M44">
        <v>0</v>
      </c>
      <c r="N44">
        <v>0</v>
      </c>
      <c r="O44">
        <v>1</v>
      </c>
      <c r="P44">
        <v>0</v>
      </c>
    </row>
    <row r="45" spans="11:16" x14ac:dyDescent="0.3">
      <c r="K45">
        <v>0</v>
      </c>
      <c r="M45">
        <v>0</v>
      </c>
      <c r="N45">
        <v>0</v>
      </c>
      <c r="O45">
        <v>1</v>
      </c>
      <c r="P45">
        <v>0</v>
      </c>
    </row>
    <row r="46" spans="11:16" x14ac:dyDescent="0.3">
      <c r="K46">
        <v>0</v>
      </c>
      <c r="M46">
        <v>0</v>
      </c>
      <c r="N46">
        <v>0</v>
      </c>
      <c r="O46">
        <v>1</v>
      </c>
      <c r="P46">
        <v>0</v>
      </c>
    </row>
    <row r="47" spans="11:16" x14ac:dyDescent="0.3">
      <c r="K47">
        <v>0</v>
      </c>
      <c r="M47">
        <v>0</v>
      </c>
      <c r="N47">
        <v>0</v>
      </c>
      <c r="O47">
        <v>1</v>
      </c>
      <c r="P47">
        <v>0</v>
      </c>
    </row>
    <row r="48" spans="11:16" x14ac:dyDescent="0.3">
      <c r="K48">
        <v>0</v>
      </c>
      <c r="M48">
        <v>0</v>
      </c>
      <c r="N48">
        <v>0</v>
      </c>
      <c r="O48">
        <v>1</v>
      </c>
      <c r="P48">
        <v>0</v>
      </c>
    </row>
    <row r="49" spans="11:16" x14ac:dyDescent="0.3">
      <c r="K49">
        <v>0</v>
      </c>
      <c r="M49">
        <v>0</v>
      </c>
      <c r="N49">
        <v>0</v>
      </c>
      <c r="O49">
        <v>1</v>
      </c>
      <c r="P49">
        <v>0</v>
      </c>
    </row>
    <row r="50" spans="11:16" x14ac:dyDescent="0.3">
      <c r="K50">
        <v>0</v>
      </c>
      <c r="M50">
        <v>0</v>
      </c>
      <c r="N50">
        <v>0</v>
      </c>
      <c r="O50">
        <v>1</v>
      </c>
      <c r="P50">
        <v>0</v>
      </c>
    </row>
    <row r="51" spans="11:16" x14ac:dyDescent="0.3">
      <c r="K51">
        <v>0</v>
      </c>
      <c r="M51">
        <v>0</v>
      </c>
      <c r="N51">
        <v>0</v>
      </c>
      <c r="O51">
        <v>1</v>
      </c>
      <c r="P51">
        <v>0</v>
      </c>
    </row>
    <row r="52" spans="11:16" x14ac:dyDescent="0.3">
      <c r="K52">
        <v>0</v>
      </c>
      <c r="M52">
        <v>0</v>
      </c>
      <c r="N52">
        <v>0</v>
      </c>
      <c r="O52">
        <v>1</v>
      </c>
      <c r="P52">
        <v>0</v>
      </c>
    </row>
    <row r="53" spans="11:16" x14ac:dyDescent="0.3">
      <c r="K53">
        <v>0</v>
      </c>
      <c r="M53">
        <v>0</v>
      </c>
      <c r="N53">
        <v>0</v>
      </c>
      <c r="O53">
        <v>1</v>
      </c>
      <c r="P53">
        <v>0</v>
      </c>
    </row>
    <row r="54" spans="11:16" x14ac:dyDescent="0.3">
      <c r="K54">
        <v>0</v>
      </c>
      <c r="M54">
        <v>0</v>
      </c>
      <c r="N54">
        <v>0</v>
      </c>
      <c r="O54">
        <v>1</v>
      </c>
      <c r="P54">
        <v>0</v>
      </c>
    </row>
    <row r="55" spans="11:16" x14ac:dyDescent="0.3">
      <c r="K55">
        <v>0</v>
      </c>
      <c r="M55">
        <v>0</v>
      </c>
      <c r="N55">
        <v>0</v>
      </c>
      <c r="O55">
        <v>1</v>
      </c>
      <c r="P55">
        <v>0</v>
      </c>
    </row>
    <row r="56" spans="11:16" x14ac:dyDescent="0.3">
      <c r="K56">
        <v>0</v>
      </c>
      <c r="M56">
        <v>0</v>
      </c>
      <c r="N56">
        <v>0</v>
      </c>
      <c r="O56">
        <v>1</v>
      </c>
      <c r="P56">
        <v>0</v>
      </c>
    </row>
    <row r="57" spans="11:16" x14ac:dyDescent="0.3">
      <c r="K57">
        <v>0</v>
      </c>
      <c r="M57">
        <v>0</v>
      </c>
      <c r="N57">
        <v>0</v>
      </c>
      <c r="O57">
        <v>1</v>
      </c>
      <c r="P57">
        <v>0</v>
      </c>
    </row>
    <row r="58" spans="11:16" x14ac:dyDescent="0.3">
      <c r="K58">
        <v>0</v>
      </c>
      <c r="M58">
        <v>0</v>
      </c>
      <c r="N58">
        <v>0</v>
      </c>
      <c r="O58">
        <v>1</v>
      </c>
      <c r="P58">
        <v>0</v>
      </c>
    </row>
    <row r="59" spans="11:16" x14ac:dyDescent="0.3">
      <c r="K59">
        <v>0</v>
      </c>
      <c r="M59">
        <v>0</v>
      </c>
      <c r="N59">
        <v>0</v>
      </c>
      <c r="O59">
        <v>1</v>
      </c>
      <c r="P59">
        <v>0</v>
      </c>
    </row>
    <row r="60" spans="11:16" x14ac:dyDescent="0.3">
      <c r="K60">
        <v>0</v>
      </c>
      <c r="M60">
        <v>0</v>
      </c>
      <c r="N60">
        <v>0</v>
      </c>
      <c r="O60">
        <v>1</v>
      </c>
      <c r="P60">
        <v>0</v>
      </c>
    </row>
    <row r="61" spans="11:16" x14ac:dyDescent="0.3">
      <c r="K61">
        <v>0</v>
      </c>
      <c r="M61">
        <v>0</v>
      </c>
      <c r="N61">
        <v>0</v>
      </c>
      <c r="O61">
        <v>1</v>
      </c>
      <c r="P61">
        <v>0</v>
      </c>
    </row>
    <row r="62" spans="11:16" x14ac:dyDescent="0.3">
      <c r="K62">
        <v>0</v>
      </c>
      <c r="M62">
        <v>0</v>
      </c>
      <c r="N62">
        <v>0</v>
      </c>
      <c r="O62">
        <v>1</v>
      </c>
      <c r="P62">
        <v>0</v>
      </c>
    </row>
    <row r="63" spans="11:16" x14ac:dyDescent="0.3">
      <c r="K63">
        <v>0</v>
      </c>
      <c r="M63">
        <v>0</v>
      </c>
      <c r="N63">
        <v>0</v>
      </c>
      <c r="O63">
        <v>1</v>
      </c>
      <c r="P63">
        <v>0</v>
      </c>
    </row>
    <row r="64" spans="11:16" x14ac:dyDescent="0.3">
      <c r="K64">
        <v>0</v>
      </c>
      <c r="M64">
        <v>0</v>
      </c>
      <c r="N64">
        <v>0</v>
      </c>
      <c r="O64">
        <v>1</v>
      </c>
      <c r="P64">
        <v>0</v>
      </c>
    </row>
    <row r="65" spans="9:16" x14ac:dyDescent="0.3">
      <c r="K65">
        <v>0</v>
      </c>
      <c r="M65">
        <v>0</v>
      </c>
      <c r="N65">
        <v>0</v>
      </c>
      <c r="O65">
        <v>1</v>
      </c>
      <c r="P65">
        <v>0</v>
      </c>
    </row>
    <row r="66" spans="9:16" x14ac:dyDescent="0.3">
      <c r="K66">
        <v>0</v>
      </c>
      <c r="M66">
        <v>0</v>
      </c>
      <c r="N66">
        <v>0</v>
      </c>
      <c r="O66">
        <v>1</v>
      </c>
      <c r="P66">
        <v>0</v>
      </c>
    </row>
    <row r="67" spans="9:16" x14ac:dyDescent="0.3">
      <c r="K67">
        <v>0</v>
      </c>
      <c r="M67">
        <v>0</v>
      </c>
      <c r="N67">
        <v>0</v>
      </c>
      <c r="O67">
        <v>1</v>
      </c>
      <c r="P67">
        <v>0</v>
      </c>
    </row>
    <row r="68" spans="9:16" x14ac:dyDescent="0.3">
      <c r="K68">
        <v>0</v>
      </c>
      <c r="M68">
        <v>0</v>
      </c>
      <c r="N68">
        <v>0</v>
      </c>
      <c r="O68">
        <v>1</v>
      </c>
      <c r="P68">
        <v>0</v>
      </c>
    </row>
    <row r="69" spans="9:16" x14ac:dyDescent="0.3">
      <c r="K69">
        <v>0</v>
      </c>
      <c r="M69">
        <v>0</v>
      </c>
      <c r="N69">
        <v>0</v>
      </c>
      <c r="O69">
        <v>1</v>
      </c>
      <c r="P69">
        <v>0</v>
      </c>
    </row>
    <row r="70" spans="9:16" x14ac:dyDescent="0.3">
      <c r="K70">
        <v>0</v>
      </c>
      <c r="M70">
        <v>0</v>
      </c>
      <c r="N70">
        <v>0</v>
      </c>
      <c r="O70">
        <v>1</v>
      </c>
      <c r="P70">
        <v>0</v>
      </c>
    </row>
    <row r="71" spans="9:16" x14ac:dyDescent="0.3">
      <c r="K71">
        <v>0</v>
      </c>
      <c r="M71">
        <v>0</v>
      </c>
      <c r="N71">
        <v>0</v>
      </c>
      <c r="O71">
        <v>1</v>
      </c>
      <c r="P71">
        <v>0</v>
      </c>
    </row>
    <row r="72" spans="9:16" x14ac:dyDescent="0.3">
      <c r="K72">
        <v>0</v>
      </c>
      <c r="M72">
        <v>0</v>
      </c>
      <c r="N72">
        <v>0</v>
      </c>
      <c r="O72">
        <v>1</v>
      </c>
      <c r="P72">
        <v>0</v>
      </c>
    </row>
    <row r="73" spans="9:16" x14ac:dyDescent="0.3">
      <c r="K73">
        <v>0</v>
      </c>
      <c r="M73">
        <v>0</v>
      </c>
      <c r="N73">
        <v>0</v>
      </c>
      <c r="O73">
        <v>1</v>
      </c>
      <c r="P73">
        <v>0</v>
      </c>
    </row>
    <row r="74" spans="9:16" x14ac:dyDescent="0.3">
      <c r="K74">
        <v>0</v>
      </c>
      <c r="M74">
        <v>0</v>
      </c>
      <c r="N74">
        <v>0</v>
      </c>
      <c r="O74">
        <v>1</v>
      </c>
      <c r="P74">
        <v>0</v>
      </c>
    </row>
    <row r="75" spans="9:16" x14ac:dyDescent="0.3">
      <c r="K75">
        <v>0</v>
      </c>
      <c r="M75">
        <v>0</v>
      </c>
      <c r="N75">
        <v>0</v>
      </c>
      <c r="O75">
        <v>1</v>
      </c>
      <c r="P75">
        <v>0</v>
      </c>
    </row>
    <row r="76" spans="9:16" x14ac:dyDescent="0.3">
      <c r="K76">
        <v>0</v>
      </c>
      <c r="M76">
        <v>0</v>
      </c>
      <c r="N76">
        <v>0</v>
      </c>
      <c r="O76">
        <v>1</v>
      </c>
      <c r="P76">
        <v>0</v>
      </c>
    </row>
    <row r="77" spans="9:16" x14ac:dyDescent="0.3">
      <c r="K77">
        <v>0</v>
      </c>
      <c r="M77">
        <v>0</v>
      </c>
      <c r="N77">
        <v>0</v>
      </c>
      <c r="O77">
        <v>1</v>
      </c>
      <c r="P77">
        <v>0</v>
      </c>
    </row>
    <row r="78" spans="9:16" x14ac:dyDescent="0.3">
      <c r="K78">
        <v>0</v>
      </c>
      <c r="M78">
        <v>0</v>
      </c>
      <c r="N78">
        <v>0</v>
      </c>
      <c r="O78">
        <v>1</v>
      </c>
      <c r="P78">
        <v>0</v>
      </c>
    </row>
    <row r="79" spans="9:16" x14ac:dyDescent="0.3">
      <c r="K79">
        <v>0</v>
      </c>
      <c r="M79">
        <v>0</v>
      </c>
      <c r="N79">
        <v>0</v>
      </c>
      <c r="O79">
        <v>1</v>
      </c>
      <c r="P79">
        <v>0</v>
      </c>
    </row>
    <row r="80" spans="9:16" x14ac:dyDescent="0.3">
      <c r="I80">
        <v>2940.45</v>
      </c>
      <c r="J80">
        <v>0</v>
      </c>
      <c r="K80">
        <v>0</v>
      </c>
      <c r="M80">
        <v>0</v>
      </c>
      <c r="N80">
        <v>3101.4348</v>
      </c>
      <c r="P80">
        <v>0</v>
      </c>
    </row>
    <row r="81" spans="1:17" x14ac:dyDescent="0.3">
      <c r="A81">
        <v>1</v>
      </c>
      <c r="B81" s="4">
        <v>44622</v>
      </c>
      <c r="C81" t="s">
        <v>45</v>
      </c>
      <c r="D81" t="s">
        <v>46</v>
      </c>
      <c r="E81" t="s">
        <v>35</v>
      </c>
      <c r="G81">
        <v>52740</v>
      </c>
      <c r="I81">
        <v>154</v>
      </c>
      <c r="K81">
        <v>0</v>
      </c>
      <c r="L81">
        <v>0</v>
      </c>
      <c r="M81">
        <v>0</v>
      </c>
      <c r="N81">
        <v>154</v>
      </c>
      <c r="O81">
        <v>4.38</v>
      </c>
      <c r="P81">
        <v>35.159817351598171</v>
      </c>
      <c r="Q81" t="s">
        <v>5</v>
      </c>
    </row>
    <row r="82" spans="1:17" x14ac:dyDescent="0.3">
      <c r="A82">
        <v>2</v>
      </c>
      <c r="B82" s="4">
        <v>44622</v>
      </c>
      <c r="C82" t="s">
        <v>47</v>
      </c>
      <c r="E82" t="s">
        <v>20</v>
      </c>
      <c r="I82">
        <v>692</v>
      </c>
      <c r="K82">
        <v>0</v>
      </c>
      <c r="M82">
        <v>0</v>
      </c>
      <c r="N82">
        <v>692</v>
      </c>
      <c r="O82">
        <v>4.38</v>
      </c>
      <c r="P82">
        <v>157.99086757990867</v>
      </c>
      <c r="Q82" t="s">
        <v>5</v>
      </c>
    </row>
    <row r="83" spans="1:17" x14ac:dyDescent="0.3">
      <c r="B83" s="4">
        <v>44625</v>
      </c>
      <c r="C83" t="s">
        <v>50</v>
      </c>
      <c r="E83" t="s">
        <v>23</v>
      </c>
      <c r="G83">
        <v>973</v>
      </c>
      <c r="I83">
        <v>1582</v>
      </c>
      <c r="K83">
        <v>0</v>
      </c>
      <c r="M83">
        <v>0</v>
      </c>
      <c r="N83">
        <v>1582</v>
      </c>
      <c r="O83">
        <v>4.5199999999999996</v>
      </c>
      <c r="P83">
        <v>350.00000000000006</v>
      </c>
      <c r="Q83" t="s">
        <v>5</v>
      </c>
    </row>
    <row r="84" spans="1:17" x14ac:dyDescent="0.3">
      <c r="B84" s="4">
        <v>44626</v>
      </c>
      <c r="C84" t="s">
        <v>45</v>
      </c>
      <c r="D84" t="s">
        <v>46</v>
      </c>
      <c r="E84" t="s">
        <v>35</v>
      </c>
      <c r="G84">
        <v>53833</v>
      </c>
      <c r="I84">
        <v>226</v>
      </c>
      <c r="K84">
        <v>0</v>
      </c>
      <c r="M84">
        <v>0</v>
      </c>
      <c r="N84">
        <v>226</v>
      </c>
      <c r="O84">
        <v>4.5199999999999996</v>
      </c>
      <c r="P84">
        <v>50.000000000000007</v>
      </c>
      <c r="Q84" t="s">
        <v>5</v>
      </c>
    </row>
    <row r="85" spans="1:17" x14ac:dyDescent="0.3">
      <c r="B85" s="4">
        <v>44627</v>
      </c>
      <c r="C85" t="s">
        <v>51</v>
      </c>
      <c r="E85" t="s">
        <v>52</v>
      </c>
      <c r="F85">
        <v>3128</v>
      </c>
      <c r="I85">
        <v>238</v>
      </c>
      <c r="K85">
        <v>0</v>
      </c>
      <c r="M85">
        <v>0</v>
      </c>
      <c r="N85">
        <v>238</v>
      </c>
      <c r="O85">
        <v>4.32</v>
      </c>
      <c r="P85">
        <v>55.092592592592588</v>
      </c>
      <c r="Q85" t="s">
        <v>5</v>
      </c>
    </row>
    <row r="86" spans="1:17" x14ac:dyDescent="0.3">
      <c r="B86" s="4">
        <v>44623</v>
      </c>
      <c r="C86" t="s">
        <v>42</v>
      </c>
      <c r="D86" t="s">
        <v>43</v>
      </c>
      <c r="E86" t="s">
        <v>19</v>
      </c>
      <c r="G86">
        <v>53545</v>
      </c>
      <c r="J86">
        <v>56.07</v>
      </c>
      <c r="K86">
        <v>8.9711999999999996</v>
      </c>
      <c r="M86">
        <v>0</v>
      </c>
      <c r="N86">
        <v>65.041200000000003</v>
      </c>
      <c r="O86">
        <v>4.3600000000000003</v>
      </c>
      <c r="P86">
        <v>14.917706422018348</v>
      </c>
      <c r="Q86" t="s">
        <v>39</v>
      </c>
    </row>
    <row r="87" spans="1:17" x14ac:dyDescent="0.3">
      <c r="B87" s="4">
        <v>44624</v>
      </c>
      <c r="C87" t="s">
        <v>49</v>
      </c>
      <c r="E87" t="s">
        <v>22</v>
      </c>
      <c r="G87" t="s">
        <v>48</v>
      </c>
      <c r="I87">
        <v>48.45</v>
      </c>
      <c r="J87">
        <v>82.71</v>
      </c>
      <c r="K87">
        <v>13.233599999999999</v>
      </c>
      <c r="M87">
        <v>0</v>
      </c>
      <c r="N87">
        <v>144.39359999999999</v>
      </c>
      <c r="O87">
        <v>4.5199999999999996</v>
      </c>
      <c r="P87">
        <v>31.945486725663716</v>
      </c>
      <c r="Q87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7186-EF25-41B4-9628-6A0B5655B236}">
  <sheetPr codeName="Hoja6">
    <pageSetUpPr fitToPage="1"/>
  </sheetPr>
  <dimension ref="A4:S82"/>
  <sheetViews>
    <sheetView showGridLines="0" topLeftCell="A4" zoomScale="89" zoomScaleNormal="89" workbookViewId="0">
      <pane xSplit="1" ySplit="3" topLeftCell="B7" activePane="bottomRight" state="frozen"/>
      <selection activeCell="P91" sqref="P91"/>
      <selection pane="topRight" activeCell="P91" sqref="P91"/>
      <selection pane="bottomLeft" activeCell="P91" sqref="P91"/>
      <selection pane="bottomRight" activeCell="T25" sqref="S25:T25"/>
    </sheetView>
  </sheetViews>
  <sheetFormatPr baseColWidth="10" defaultColWidth="9.109375" defaultRowHeight="12" x14ac:dyDescent="0.25"/>
  <cols>
    <col min="1" max="1" width="5" style="20" customWidth="1"/>
    <col min="2" max="2" width="12.6640625" style="20" customWidth="1"/>
    <col min="3" max="3" width="25.6640625" style="20" customWidth="1"/>
    <col min="4" max="4" width="29.44140625" style="42" customWidth="1"/>
    <col min="5" max="5" width="20.109375" style="20" hidden="1" customWidth="1"/>
    <col min="6" max="6" width="12" style="44" hidden="1" customWidth="1"/>
    <col min="7" max="7" width="13.6640625" style="20" hidden="1" customWidth="1"/>
    <col min="8" max="8" width="18.44140625" style="20" hidden="1" customWidth="1"/>
    <col min="9" max="9" width="12.6640625" style="20" hidden="1" customWidth="1"/>
    <col min="10" max="10" width="13" style="20" hidden="1" customWidth="1"/>
    <col min="11" max="11" width="17.109375" style="20" hidden="1" customWidth="1"/>
    <col min="12" max="12" width="6.6640625" style="20" hidden="1" customWidth="1"/>
    <col min="13" max="13" width="21.33203125" style="20" customWidth="1"/>
    <col min="14" max="14" width="17.109375" style="20" customWidth="1"/>
    <col min="15" max="15" width="17.88671875" style="20" customWidth="1"/>
    <col min="16" max="16" width="19.109375" style="41" customWidth="1"/>
    <col min="17" max="17" width="14.6640625" style="42" customWidth="1"/>
    <col min="18" max="18" width="21.109375" style="41" customWidth="1"/>
    <col min="19" max="19" width="61.6640625" style="41" customWidth="1"/>
    <col min="20" max="16384" width="9.109375" style="20"/>
  </cols>
  <sheetData>
    <row r="4" spans="1:19" x14ac:dyDescent="0.25">
      <c r="A4" s="290" t="s">
        <v>55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19"/>
      <c r="R4" s="43"/>
      <c r="S4" s="43"/>
    </row>
    <row r="5" spans="1:19" ht="6.75" customHeight="1" x14ac:dyDescent="0.25">
      <c r="R5" s="43"/>
      <c r="S5" s="43"/>
    </row>
    <row r="6" spans="1:19" s="41" customFormat="1" ht="24.6" thickBot="1" x14ac:dyDescent="0.35">
      <c r="A6" s="93" t="s">
        <v>7</v>
      </c>
      <c r="B6" s="94" t="s">
        <v>66</v>
      </c>
      <c r="C6" s="95" t="s">
        <v>9</v>
      </c>
      <c r="D6" s="94" t="s">
        <v>18</v>
      </c>
      <c r="E6" s="94" t="s">
        <v>11</v>
      </c>
      <c r="F6" s="95" t="s">
        <v>6</v>
      </c>
      <c r="G6" s="94" t="s">
        <v>44</v>
      </c>
      <c r="H6" s="94" t="s">
        <v>2</v>
      </c>
      <c r="I6" s="95" t="s">
        <v>1</v>
      </c>
      <c r="J6" s="95" t="s">
        <v>13</v>
      </c>
      <c r="K6" s="94" t="s">
        <v>14</v>
      </c>
      <c r="L6" s="95" t="s">
        <v>15</v>
      </c>
      <c r="M6" s="94" t="s">
        <v>4</v>
      </c>
      <c r="N6" s="95" t="s">
        <v>5</v>
      </c>
      <c r="O6" s="95" t="s">
        <v>175</v>
      </c>
      <c r="P6" s="93" t="s">
        <v>133</v>
      </c>
      <c r="Q6" s="96" t="s">
        <v>58</v>
      </c>
      <c r="R6" s="97" t="s">
        <v>77</v>
      </c>
      <c r="S6" s="97" t="s">
        <v>134</v>
      </c>
    </row>
    <row r="7" spans="1:19" s="53" customFormat="1" ht="18" customHeight="1" x14ac:dyDescent="0.25">
      <c r="A7" s="45"/>
      <c r="B7" s="43">
        <v>46210</v>
      </c>
      <c r="C7" s="20" t="s">
        <v>281</v>
      </c>
      <c r="D7" s="42" t="s">
        <v>97</v>
      </c>
      <c r="E7" s="20"/>
      <c r="F7" s="44"/>
      <c r="G7" s="47"/>
      <c r="H7" s="47"/>
      <c r="I7" s="48"/>
      <c r="J7" s="49"/>
      <c r="K7" s="50"/>
      <c r="L7" s="22"/>
      <c r="M7" s="51">
        <v>778</v>
      </c>
      <c r="N7" s="52">
        <v>103001</v>
      </c>
      <c r="O7" s="52">
        <f>+Tabla7[[#This Row],[USD]]*Tabla7[[#This Row],[TASA DE CAMBIO]]</f>
        <v>80134778</v>
      </c>
      <c r="P7" s="51" t="s">
        <v>114</v>
      </c>
      <c r="Q7" s="51" t="s">
        <v>59</v>
      </c>
      <c r="R7" s="43">
        <v>46210</v>
      </c>
      <c r="S7" s="43" t="s">
        <v>283</v>
      </c>
    </row>
    <row r="8" spans="1:19" s="53" customFormat="1" ht="18" customHeight="1" x14ac:dyDescent="0.25">
      <c r="A8" s="45"/>
      <c r="B8" s="43">
        <v>46210</v>
      </c>
      <c r="C8" s="20" t="s">
        <v>282</v>
      </c>
      <c r="D8" s="42" t="s">
        <v>97</v>
      </c>
      <c r="E8" s="20"/>
      <c r="F8" s="44"/>
      <c r="G8" s="47"/>
      <c r="H8" s="47"/>
      <c r="I8" s="48"/>
      <c r="J8" s="49"/>
      <c r="K8" s="50"/>
      <c r="L8" s="22"/>
      <c r="M8" s="51">
        <v>755</v>
      </c>
      <c r="N8" s="52">
        <v>480</v>
      </c>
      <c r="O8" s="52">
        <f>+Tabla7[[#This Row],[USD]]*Tabla7[[#This Row],[TASA DE CAMBIO]]</f>
        <v>362400</v>
      </c>
      <c r="P8" s="51" t="s">
        <v>114</v>
      </c>
      <c r="Q8" s="51" t="s">
        <v>59</v>
      </c>
      <c r="R8" s="43">
        <v>46210</v>
      </c>
      <c r="S8" s="43" t="s">
        <v>283</v>
      </c>
    </row>
    <row r="9" spans="1:19" s="53" customFormat="1" ht="18" customHeight="1" x14ac:dyDescent="0.25">
      <c r="A9" s="45"/>
      <c r="B9" s="43">
        <v>46211</v>
      </c>
      <c r="C9" s="20" t="s">
        <v>284</v>
      </c>
      <c r="D9" s="42" t="s">
        <v>97</v>
      </c>
      <c r="E9" s="42"/>
      <c r="F9" s="44"/>
      <c r="G9" s="31"/>
      <c r="H9" s="47"/>
      <c r="I9" s="48"/>
      <c r="J9" s="49"/>
      <c r="K9" s="50"/>
      <c r="L9" s="22"/>
      <c r="M9" s="51">
        <v>800</v>
      </c>
      <c r="N9" s="52">
        <v>953.81</v>
      </c>
      <c r="O9" s="52">
        <f>+Tabla7[[#This Row],[USD]]*Tabla7[[#This Row],[TASA DE CAMBIO]]</f>
        <v>763048</v>
      </c>
      <c r="P9" s="51" t="s">
        <v>114</v>
      </c>
      <c r="Q9" s="51" t="s">
        <v>59</v>
      </c>
      <c r="R9" s="43">
        <v>46211</v>
      </c>
      <c r="S9" s="43" t="s">
        <v>286</v>
      </c>
    </row>
    <row r="10" spans="1:19" s="53" customFormat="1" ht="18" customHeight="1" x14ac:dyDescent="0.25">
      <c r="A10" s="45"/>
      <c r="B10" s="43">
        <v>46211</v>
      </c>
      <c r="C10" s="20" t="s">
        <v>285</v>
      </c>
      <c r="D10" s="42" t="s">
        <v>97</v>
      </c>
      <c r="E10" s="42"/>
      <c r="F10" s="44"/>
      <c r="G10" s="31"/>
      <c r="H10" s="47"/>
      <c r="I10" s="48"/>
      <c r="J10" s="49"/>
      <c r="K10" s="50"/>
      <c r="L10" s="22"/>
      <c r="M10" s="51">
        <v>804</v>
      </c>
      <c r="N10" s="52">
        <v>1039.55</v>
      </c>
      <c r="O10" s="52">
        <f>+Tabla7[[#This Row],[USD]]*Tabla7[[#This Row],[TASA DE CAMBIO]]</f>
        <v>835798.2</v>
      </c>
      <c r="P10" s="51" t="s">
        <v>114</v>
      </c>
      <c r="Q10" s="51" t="s">
        <v>59</v>
      </c>
      <c r="R10" s="43">
        <v>46211</v>
      </c>
      <c r="S10" s="43" t="s">
        <v>286</v>
      </c>
    </row>
    <row r="11" spans="1:19" s="53" customFormat="1" ht="18" customHeight="1" x14ac:dyDescent="0.25">
      <c r="A11" s="45"/>
      <c r="B11" s="46">
        <v>46212</v>
      </c>
      <c r="C11" s="20" t="s">
        <v>309</v>
      </c>
      <c r="D11" s="42" t="s">
        <v>159</v>
      </c>
      <c r="E11" s="42"/>
      <c r="F11" s="108"/>
      <c r="G11" s="47"/>
      <c r="H11" s="47"/>
      <c r="I11" s="48"/>
      <c r="J11" s="49"/>
      <c r="K11" s="50"/>
      <c r="L11" s="22"/>
      <c r="M11" s="51">
        <v>700.22</v>
      </c>
      <c r="N11" s="52">
        <v>47.744894461740593</v>
      </c>
      <c r="O11" s="52">
        <f>+Tabla7[[#This Row],[USD]]*Tabla7[[#This Row],[TASA DE CAMBIO]]</f>
        <v>33431.93</v>
      </c>
      <c r="P11" s="51" t="s">
        <v>114</v>
      </c>
      <c r="Q11" s="51" t="s">
        <v>59</v>
      </c>
      <c r="R11" s="46">
        <v>46212</v>
      </c>
      <c r="S11" s="42" t="s">
        <v>159</v>
      </c>
    </row>
    <row r="12" spans="1:19" ht="18" customHeight="1" x14ac:dyDescent="0.25">
      <c r="A12" s="45"/>
      <c r="B12" s="46">
        <v>46212</v>
      </c>
      <c r="C12" s="20" t="s">
        <v>311</v>
      </c>
      <c r="D12" s="42" t="s">
        <v>159</v>
      </c>
      <c r="E12" s="42"/>
      <c r="F12" s="108"/>
      <c r="G12" s="47"/>
      <c r="H12" s="47"/>
      <c r="I12" s="48"/>
      <c r="J12" s="49"/>
      <c r="K12" s="50"/>
      <c r="L12" s="22"/>
      <c r="M12" s="51">
        <v>700.22</v>
      </c>
      <c r="N12" s="52">
        <v>43.589043443489182</v>
      </c>
      <c r="O12" s="52">
        <f>+Tabla7[[#This Row],[USD]]*Tabla7[[#This Row],[TASA DE CAMBIO]]</f>
        <v>30521.919999999995</v>
      </c>
      <c r="P12" s="51" t="s">
        <v>114</v>
      </c>
      <c r="Q12" s="51" t="s">
        <v>59</v>
      </c>
      <c r="R12" s="46">
        <v>46212</v>
      </c>
      <c r="S12" s="42" t="s">
        <v>159</v>
      </c>
    </row>
    <row r="13" spans="1:19" ht="18" customHeight="1" x14ac:dyDescent="0.25">
      <c r="A13" s="45"/>
      <c r="B13" s="46">
        <v>46212</v>
      </c>
      <c r="C13" s="20" t="s">
        <v>312</v>
      </c>
      <c r="D13" s="42" t="s">
        <v>159</v>
      </c>
      <c r="E13" s="42"/>
      <c r="F13" s="108"/>
      <c r="G13" s="47"/>
      <c r="H13" s="47"/>
      <c r="I13" s="48"/>
      <c r="J13" s="49"/>
      <c r="K13" s="50"/>
      <c r="L13" s="22"/>
      <c r="M13" s="51">
        <v>700.22</v>
      </c>
      <c r="N13" s="52">
        <v>14.232669732369827</v>
      </c>
      <c r="O13" s="52">
        <f>+Tabla7[[#This Row],[USD]]*Tabla7[[#This Row],[TASA DE CAMBIO]]</f>
        <v>9966</v>
      </c>
      <c r="P13" s="51" t="s">
        <v>114</v>
      </c>
      <c r="Q13" s="51" t="s">
        <v>59</v>
      </c>
      <c r="R13" s="46">
        <v>46212</v>
      </c>
      <c r="S13" s="42" t="s">
        <v>159</v>
      </c>
    </row>
    <row r="14" spans="1:19" ht="18" customHeight="1" x14ac:dyDescent="0.25">
      <c r="A14" s="45"/>
      <c r="B14" s="46">
        <v>46212</v>
      </c>
      <c r="C14" s="20" t="s">
        <v>313</v>
      </c>
      <c r="D14" s="42" t="s">
        <v>159</v>
      </c>
      <c r="E14" s="42"/>
      <c r="F14" s="108"/>
      <c r="G14" s="47"/>
      <c r="H14" s="47"/>
      <c r="I14" s="48"/>
      <c r="J14" s="49"/>
      <c r="K14" s="50"/>
      <c r="L14" s="22"/>
      <c r="M14" s="51">
        <v>700.22</v>
      </c>
      <c r="N14" s="52">
        <v>4577.6914683956475</v>
      </c>
      <c r="O14" s="52">
        <f>+Tabla7[[#This Row],[USD]]*Tabla7[[#This Row],[TASA DE CAMBIO]]</f>
        <v>3205391.1200000006</v>
      </c>
      <c r="P14" s="51" t="s">
        <v>114</v>
      </c>
      <c r="Q14" s="51" t="s">
        <v>59</v>
      </c>
      <c r="R14" s="46">
        <v>46212</v>
      </c>
      <c r="S14" s="42" t="s">
        <v>159</v>
      </c>
    </row>
    <row r="15" spans="1:19" ht="18" customHeight="1" x14ac:dyDescent="0.25">
      <c r="A15" s="45"/>
      <c r="B15" s="43">
        <v>46216</v>
      </c>
      <c r="C15" s="20" t="s">
        <v>287</v>
      </c>
      <c r="D15" s="42" t="s">
        <v>97</v>
      </c>
      <c r="G15" s="47"/>
      <c r="H15" s="47"/>
      <c r="I15" s="48"/>
      <c r="J15" s="49"/>
      <c r="K15" s="50"/>
      <c r="L15" s="22"/>
      <c r="M15" s="51">
        <v>820</v>
      </c>
      <c r="N15" s="52">
        <v>3703.7</v>
      </c>
      <c r="O15" s="52">
        <f>+Tabla7[[#This Row],[USD]]*Tabla7[[#This Row],[TASA DE CAMBIO]]</f>
        <v>3037034</v>
      </c>
      <c r="P15" s="51" t="s">
        <v>114</v>
      </c>
      <c r="Q15" s="51" t="s">
        <v>59</v>
      </c>
      <c r="R15" s="43">
        <v>46216</v>
      </c>
      <c r="S15" s="43" t="s">
        <v>173</v>
      </c>
    </row>
    <row r="16" spans="1:19" ht="18" customHeight="1" x14ac:dyDescent="0.25">
      <c r="A16" s="45"/>
      <c r="B16" s="43">
        <v>46216</v>
      </c>
      <c r="C16" s="20" t="s">
        <v>288</v>
      </c>
      <c r="D16" s="42" t="s">
        <v>97</v>
      </c>
      <c r="G16" s="47"/>
      <c r="H16" s="47"/>
      <c r="I16" s="48"/>
      <c r="J16" s="49"/>
      <c r="K16" s="50"/>
      <c r="L16" s="22"/>
      <c r="M16" s="51">
        <v>830</v>
      </c>
      <c r="N16" s="52">
        <v>7353.79</v>
      </c>
      <c r="O16" s="52">
        <f>+Tabla7[[#This Row],[USD]]*Tabla7[[#This Row],[TASA DE CAMBIO]]</f>
        <v>6103645.7000000002</v>
      </c>
      <c r="P16" s="51" t="s">
        <v>114</v>
      </c>
      <c r="Q16" s="51" t="s">
        <v>59</v>
      </c>
      <c r="R16" s="43">
        <v>46216</v>
      </c>
      <c r="S16" s="43" t="s">
        <v>173</v>
      </c>
    </row>
    <row r="17" spans="1:19" ht="18" customHeight="1" x14ac:dyDescent="0.25">
      <c r="A17" s="45"/>
      <c r="B17" s="43">
        <v>46216</v>
      </c>
      <c r="C17" s="20" t="s">
        <v>289</v>
      </c>
      <c r="D17" s="42" t="s">
        <v>97</v>
      </c>
      <c r="G17" s="47"/>
      <c r="H17" s="47"/>
      <c r="I17" s="48"/>
      <c r="J17" s="49"/>
      <c r="K17" s="50"/>
      <c r="L17" s="22"/>
      <c r="M17" s="51">
        <v>824.57</v>
      </c>
      <c r="N17" s="52">
        <v>359.59999999999997</v>
      </c>
      <c r="O17" s="52">
        <f>+Tabla7[[#This Row],[USD]]*Tabla7[[#This Row],[TASA DE CAMBIO]]</f>
        <v>296515.37199999997</v>
      </c>
      <c r="P17" s="51" t="s">
        <v>114</v>
      </c>
      <c r="Q17" s="51" t="s">
        <v>59</v>
      </c>
      <c r="R17" s="43">
        <v>46216</v>
      </c>
      <c r="S17" s="43" t="s">
        <v>173</v>
      </c>
    </row>
    <row r="18" spans="1:19" ht="18" customHeight="1" x14ac:dyDescent="0.25">
      <c r="A18" s="45"/>
      <c r="B18" s="46">
        <v>46216</v>
      </c>
      <c r="C18" s="20" t="s">
        <v>290</v>
      </c>
      <c r="D18" s="42" t="s">
        <v>97</v>
      </c>
      <c r="G18" s="47"/>
      <c r="H18" s="47"/>
      <c r="I18" s="48"/>
      <c r="J18" s="49"/>
      <c r="K18" s="50"/>
      <c r="L18" s="22"/>
      <c r="M18" s="51">
        <v>771.9</v>
      </c>
      <c r="N18" s="52">
        <v>6223.9219328928621</v>
      </c>
      <c r="O18" s="52">
        <f>+Tabla7[[#This Row],[USD]]*Tabla7[[#This Row],[TASA DE CAMBIO]]</f>
        <v>4804245.34</v>
      </c>
      <c r="P18" s="51" t="s">
        <v>114</v>
      </c>
      <c r="Q18" s="51" t="s">
        <v>59</v>
      </c>
      <c r="R18" s="46">
        <v>46216</v>
      </c>
      <c r="S18" s="43" t="s">
        <v>173</v>
      </c>
    </row>
    <row r="19" spans="1:19" ht="18" customHeight="1" x14ac:dyDescent="0.25">
      <c r="A19" s="45"/>
      <c r="B19" s="46">
        <v>46217</v>
      </c>
      <c r="C19" s="20" t="s">
        <v>284</v>
      </c>
      <c r="D19" s="42" t="s">
        <v>97</v>
      </c>
      <c r="G19" s="47"/>
      <c r="H19" s="47"/>
      <c r="I19" s="48"/>
      <c r="J19" s="49"/>
      <c r="K19" s="50"/>
      <c r="L19" s="22"/>
      <c r="M19" s="51">
        <v>843</v>
      </c>
      <c r="N19" s="52">
        <v>6113.69</v>
      </c>
      <c r="O19" s="52">
        <f>+Tabla7[[#This Row],[USD]]*Tabla7[[#This Row],[TASA DE CAMBIO]]</f>
        <v>5153840.67</v>
      </c>
      <c r="P19" s="51" t="s">
        <v>114</v>
      </c>
      <c r="Q19" s="51" t="s">
        <v>59</v>
      </c>
      <c r="R19" s="46">
        <v>46217</v>
      </c>
      <c r="S19" s="43" t="s">
        <v>173</v>
      </c>
    </row>
    <row r="20" spans="1:19" ht="18" customHeight="1" x14ac:dyDescent="0.25">
      <c r="A20" s="45"/>
      <c r="B20" s="46">
        <v>46217</v>
      </c>
      <c r="C20" s="20" t="s">
        <v>281</v>
      </c>
      <c r="D20" s="42" t="s">
        <v>97</v>
      </c>
      <c r="G20" s="47"/>
      <c r="H20" s="47"/>
      <c r="I20" s="48"/>
      <c r="J20" s="49"/>
      <c r="K20" s="50"/>
      <c r="L20" s="22"/>
      <c r="M20" s="51">
        <v>856</v>
      </c>
      <c r="N20" s="52">
        <v>5841.1214953271028</v>
      </c>
      <c r="O20" s="52">
        <f>+Tabla7[[#This Row],[USD]]*Tabla7[[#This Row],[TASA DE CAMBIO]]</f>
        <v>5000000</v>
      </c>
      <c r="P20" s="51" t="s">
        <v>114</v>
      </c>
      <c r="Q20" s="51" t="s">
        <v>59</v>
      </c>
      <c r="R20" s="46">
        <v>46217</v>
      </c>
      <c r="S20" s="43" t="s">
        <v>173</v>
      </c>
    </row>
    <row r="21" spans="1:19" ht="18" customHeight="1" x14ac:dyDescent="0.25">
      <c r="A21" s="45"/>
      <c r="B21" s="46">
        <v>46217</v>
      </c>
      <c r="C21" s="20" t="s">
        <v>281</v>
      </c>
      <c r="D21" s="42" t="s">
        <v>97</v>
      </c>
      <c r="E21" s="42"/>
      <c r="G21" s="31"/>
      <c r="H21" s="47"/>
      <c r="I21" s="48"/>
      <c r="J21" s="49"/>
      <c r="K21" s="50"/>
      <c r="L21" s="22"/>
      <c r="M21" s="51">
        <v>856</v>
      </c>
      <c r="N21" s="52">
        <v>3059.5942523364488</v>
      </c>
      <c r="O21" s="52">
        <f>+Tabla7[[#This Row],[USD]]*Tabla7[[#This Row],[TASA DE CAMBIO]]</f>
        <v>2619012.6800000002</v>
      </c>
      <c r="P21" s="51" t="s">
        <v>114</v>
      </c>
      <c r="Q21" s="51" t="s">
        <v>59</v>
      </c>
      <c r="R21" s="46">
        <v>46217</v>
      </c>
      <c r="S21" s="43" t="s">
        <v>173</v>
      </c>
    </row>
    <row r="22" spans="1:19" ht="18" customHeight="1" x14ac:dyDescent="0.25">
      <c r="A22" s="45"/>
      <c r="B22" s="46">
        <v>46217</v>
      </c>
      <c r="C22" s="20" t="s">
        <v>281</v>
      </c>
      <c r="D22" s="42" t="s">
        <v>97</v>
      </c>
      <c r="E22" s="42"/>
      <c r="G22" s="31"/>
      <c r="H22" s="47"/>
      <c r="I22" s="48"/>
      <c r="J22" s="49"/>
      <c r="K22" s="50"/>
      <c r="L22" s="22"/>
      <c r="M22" s="51">
        <v>856</v>
      </c>
      <c r="N22" s="52">
        <v>3059.5942640186913</v>
      </c>
      <c r="O22" s="52">
        <f>+Tabla7[[#This Row],[USD]]*Tabla7[[#This Row],[TASA DE CAMBIO]]</f>
        <v>2619012.69</v>
      </c>
      <c r="P22" s="51" t="s">
        <v>114</v>
      </c>
      <c r="Q22" s="51" t="s">
        <v>59</v>
      </c>
      <c r="R22" s="43">
        <v>46217</v>
      </c>
      <c r="S22" s="43" t="s">
        <v>173</v>
      </c>
    </row>
    <row r="23" spans="1:19" ht="18" customHeight="1" x14ac:dyDescent="0.25">
      <c r="A23" s="45"/>
      <c r="B23" s="46">
        <v>46217</v>
      </c>
      <c r="C23" s="20" t="s">
        <v>317</v>
      </c>
      <c r="D23" s="42" t="s">
        <v>159</v>
      </c>
      <c r="E23" s="42"/>
      <c r="F23" s="108"/>
      <c r="G23" s="47"/>
      <c r="H23" s="47"/>
      <c r="I23" s="48"/>
      <c r="J23" s="49"/>
      <c r="K23" s="50"/>
      <c r="L23" s="22"/>
      <c r="M23" s="51">
        <v>724</v>
      </c>
      <c r="N23" s="52">
        <v>16.382058011049725</v>
      </c>
      <c r="O23" s="52">
        <f>+Tabla7[[#This Row],[USD]]*Tabla7[[#This Row],[TASA DE CAMBIO]]</f>
        <v>11860.61</v>
      </c>
      <c r="P23" s="51" t="s">
        <v>114</v>
      </c>
      <c r="Q23" s="51" t="s">
        <v>59</v>
      </c>
      <c r="R23" s="46">
        <v>46217</v>
      </c>
      <c r="S23" s="43" t="s">
        <v>318</v>
      </c>
    </row>
    <row r="24" spans="1:19" ht="18" customHeight="1" x14ac:dyDescent="0.25">
      <c r="A24" s="45"/>
      <c r="B24" s="46">
        <v>46217</v>
      </c>
      <c r="C24" s="20" t="s">
        <v>332</v>
      </c>
      <c r="D24" s="42" t="s">
        <v>159</v>
      </c>
      <c r="E24" s="42"/>
      <c r="F24" s="108"/>
      <c r="G24" s="47"/>
      <c r="H24" s="47"/>
      <c r="I24" s="48"/>
      <c r="J24" s="49"/>
      <c r="K24" s="50"/>
      <c r="L24" s="22"/>
      <c r="M24" s="51">
        <v>724</v>
      </c>
      <c r="N24" s="52">
        <v>175.36947513812154</v>
      </c>
      <c r="O24" s="52">
        <f>+Tabla7[[#This Row],[USD]]*Tabla7[[#This Row],[TASA DE CAMBIO]]</f>
        <v>126967.5</v>
      </c>
      <c r="P24" s="51" t="s">
        <v>114</v>
      </c>
      <c r="Q24" s="51" t="s">
        <v>59</v>
      </c>
      <c r="R24" s="46">
        <v>46217</v>
      </c>
      <c r="S24" s="43" t="s">
        <v>318</v>
      </c>
    </row>
    <row r="25" spans="1:19" ht="18" customHeight="1" x14ac:dyDescent="0.25">
      <c r="A25" s="45"/>
      <c r="B25" s="46">
        <v>46219</v>
      </c>
      <c r="C25" s="20" t="s">
        <v>311</v>
      </c>
      <c r="D25" s="42" t="s">
        <v>159</v>
      </c>
      <c r="E25" s="42"/>
      <c r="F25" s="108"/>
      <c r="G25" s="47"/>
      <c r="H25" s="47"/>
      <c r="I25" s="48"/>
      <c r="J25" s="49"/>
      <c r="K25" s="50"/>
      <c r="L25" s="22"/>
      <c r="M25" s="51">
        <v>727.45</v>
      </c>
      <c r="N25" s="52">
        <v>283.39216440992504</v>
      </c>
      <c r="O25" s="52">
        <f>+Tabla7[[#This Row],[USD]]*Tabla7[[#This Row],[TASA DE CAMBIO]]</f>
        <v>206153.62999999998</v>
      </c>
      <c r="P25" s="51" t="s">
        <v>114</v>
      </c>
      <c r="Q25" s="51" t="s">
        <v>59</v>
      </c>
      <c r="R25" s="46">
        <v>46219</v>
      </c>
      <c r="S25" s="43" t="s">
        <v>343</v>
      </c>
    </row>
    <row r="26" spans="1:19" ht="18" customHeight="1" x14ac:dyDescent="0.25">
      <c r="A26" s="45"/>
      <c r="B26" s="46">
        <v>46219</v>
      </c>
      <c r="C26" s="20" t="s">
        <v>313</v>
      </c>
      <c r="D26" s="42" t="s">
        <v>159</v>
      </c>
      <c r="E26" s="42"/>
      <c r="F26" s="108"/>
      <c r="G26" s="47"/>
      <c r="H26" s="47"/>
      <c r="I26" s="48"/>
      <c r="J26" s="49"/>
      <c r="K26" s="50"/>
      <c r="L26" s="22"/>
      <c r="M26" s="51">
        <v>727.45</v>
      </c>
      <c r="N26" s="52">
        <v>562.95416867138636</v>
      </c>
      <c r="O26" s="52">
        <f>+Tabla7[[#This Row],[USD]]*Tabla7[[#This Row],[TASA DE CAMBIO]]</f>
        <v>409521.01</v>
      </c>
      <c r="P26" s="51" t="s">
        <v>114</v>
      </c>
      <c r="Q26" s="51" t="s">
        <v>59</v>
      </c>
      <c r="R26" s="46">
        <v>46219</v>
      </c>
      <c r="S26" s="43" t="s">
        <v>343</v>
      </c>
    </row>
    <row r="27" spans="1:19" ht="18" customHeight="1" x14ac:dyDescent="0.25">
      <c r="A27" s="45"/>
      <c r="B27" s="46">
        <v>46219</v>
      </c>
      <c r="C27" s="20" t="s">
        <v>344</v>
      </c>
      <c r="D27" s="42" t="s">
        <v>159</v>
      </c>
      <c r="E27" s="42"/>
      <c r="G27" s="31"/>
      <c r="H27" s="47"/>
      <c r="I27" s="48"/>
      <c r="J27" s="49"/>
      <c r="K27" s="50"/>
      <c r="L27" s="22"/>
      <c r="M27" s="51">
        <v>727.45</v>
      </c>
      <c r="N27" s="52">
        <v>335.61870918963501</v>
      </c>
      <c r="O27" s="52">
        <f>+Tabla7[[#This Row],[USD]]*Tabla7[[#This Row],[TASA DE CAMBIO]]</f>
        <v>244145.83000000002</v>
      </c>
      <c r="P27" s="51" t="s">
        <v>114</v>
      </c>
      <c r="Q27" s="51" t="s">
        <v>59</v>
      </c>
      <c r="R27" s="46">
        <v>46219</v>
      </c>
      <c r="S27" s="43" t="s">
        <v>343</v>
      </c>
    </row>
    <row r="28" spans="1:19" ht="18" customHeight="1" x14ac:dyDescent="0.25">
      <c r="A28" s="45"/>
      <c r="B28" s="46">
        <v>46220</v>
      </c>
      <c r="C28" s="20" t="s">
        <v>288</v>
      </c>
      <c r="D28" s="42" t="s">
        <v>97</v>
      </c>
      <c r="E28" s="42"/>
      <c r="G28" s="31"/>
      <c r="H28" s="47"/>
      <c r="I28" s="48"/>
      <c r="J28" s="49"/>
      <c r="K28" s="50"/>
      <c r="L28" s="22"/>
      <c r="M28" s="51">
        <v>840</v>
      </c>
      <c r="N28" s="52">
        <v>4591.8</v>
      </c>
      <c r="O28" s="52">
        <f>+Tabla7[[#This Row],[USD]]*Tabla7[[#This Row],[TASA DE CAMBIO]]</f>
        <v>3857112</v>
      </c>
      <c r="P28" s="51" t="s">
        <v>114</v>
      </c>
      <c r="Q28" s="51" t="s">
        <v>59</v>
      </c>
      <c r="R28" s="46">
        <v>46220</v>
      </c>
      <c r="S28" s="43" t="s">
        <v>173</v>
      </c>
    </row>
    <row r="29" spans="1:19" ht="18" customHeight="1" x14ac:dyDescent="0.25">
      <c r="A29" s="45"/>
      <c r="B29" s="46">
        <v>46220</v>
      </c>
      <c r="C29" s="20" t="s">
        <v>291</v>
      </c>
      <c r="D29" s="42" t="s">
        <v>97</v>
      </c>
      <c r="E29" s="42"/>
      <c r="G29" s="31"/>
      <c r="H29" s="47"/>
      <c r="I29" s="48"/>
      <c r="J29" s="49"/>
      <c r="K29" s="50"/>
      <c r="L29" s="22"/>
      <c r="M29" s="51">
        <v>845</v>
      </c>
      <c r="N29" s="52">
        <v>7608.51</v>
      </c>
      <c r="O29" s="52">
        <f>+Tabla7[[#This Row],[USD]]*Tabla7[[#This Row],[TASA DE CAMBIO]]</f>
        <v>6429190.9500000002</v>
      </c>
      <c r="P29" s="51" t="s">
        <v>114</v>
      </c>
      <c r="Q29" s="51" t="s">
        <v>59</v>
      </c>
      <c r="R29" s="46">
        <v>46220</v>
      </c>
      <c r="S29" s="43" t="s">
        <v>173</v>
      </c>
    </row>
    <row r="30" spans="1:19" ht="18" customHeight="1" x14ac:dyDescent="0.25">
      <c r="A30" s="45"/>
      <c r="B30" s="46">
        <v>46230</v>
      </c>
      <c r="C30" s="20" t="s">
        <v>281</v>
      </c>
      <c r="D30" s="42" t="s">
        <v>97</v>
      </c>
      <c r="E30" s="42"/>
      <c r="G30" s="47"/>
      <c r="H30" s="47"/>
      <c r="I30" s="48"/>
      <c r="J30" s="49"/>
      <c r="K30" s="50"/>
      <c r="L30" s="22"/>
      <c r="M30" s="51">
        <v>880</v>
      </c>
      <c r="N30" s="52">
        <v>5681.818181818182</v>
      </c>
      <c r="O30" s="52">
        <f>+Tabla7[[#This Row],[USD]]*Tabla7[[#This Row],[TASA DE CAMBIO]]</f>
        <v>5000000</v>
      </c>
      <c r="P30" s="51" t="s">
        <v>114</v>
      </c>
      <c r="Q30" s="51" t="s">
        <v>59</v>
      </c>
      <c r="R30" s="46">
        <v>46230</v>
      </c>
      <c r="S30" s="43" t="s">
        <v>173</v>
      </c>
    </row>
    <row r="31" spans="1:19" ht="18" customHeight="1" x14ac:dyDescent="0.25">
      <c r="A31" s="45"/>
      <c r="B31" s="46">
        <v>46230</v>
      </c>
      <c r="C31" s="20" t="s">
        <v>281</v>
      </c>
      <c r="D31" s="42" t="s">
        <v>97</v>
      </c>
      <c r="E31" s="42"/>
      <c r="G31" s="47"/>
      <c r="H31" s="47"/>
      <c r="I31" s="48"/>
      <c r="J31" s="49"/>
      <c r="K31" s="50"/>
      <c r="L31" s="22"/>
      <c r="M31" s="51">
        <v>880</v>
      </c>
      <c r="N31" s="52">
        <v>5681.818181818182</v>
      </c>
      <c r="O31" s="52">
        <f>+Tabla7[[#This Row],[USD]]*Tabla7[[#This Row],[TASA DE CAMBIO]]</f>
        <v>5000000</v>
      </c>
      <c r="P31" s="51" t="s">
        <v>114</v>
      </c>
      <c r="Q31" s="51" t="s">
        <v>59</v>
      </c>
      <c r="R31" s="46">
        <v>46230</v>
      </c>
      <c r="S31" s="43" t="s">
        <v>173</v>
      </c>
    </row>
    <row r="32" spans="1:19" ht="18" customHeight="1" x14ac:dyDescent="0.25">
      <c r="A32" s="45"/>
      <c r="B32" s="43">
        <v>46230</v>
      </c>
      <c r="C32" s="20" t="s">
        <v>281</v>
      </c>
      <c r="D32" s="42" t="s">
        <v>97</v>
      </c>
      <c r="E32" s="42"/>
      <c r="G32" s="31"/>
      <c r="H32" s="47"/>
      <c r="I32" s="48"/>
      <c r="J32" s="49"/>
      <c r="K32" s="50"/>
      <c r="L32" s="22"/>
      <c r="M32" s="51">
        <v>880</v>
      </c>
      <c r="N32" s="52">
        <v>5681.818181818182</v>
      </c>
      <c r="O32" s="52">
        <f>+Tabla7[[#This Row],[USD]]*Tabla7[[#This Row],[TASA DE CAMBIO]]</f>
        <v>5000000</v>
      </c>
      <c r="P32" s="51" t="s">
        <v>114</v>
      </c>
      <c r="Q32" s="51" t="s">
        <v>59</v>
      </c>
      <c r="R32" s="43">
        <v>46230</v>
      </c>
      <c r="S32" s="43" t="s">
        <v>173</v>
      </c>
    </row>
    <row r="33" spans="1:19" ht="18" customHeight="1" x14ac:dyDescent="0.25">
      <c r="A33" s="45"/>
      <c r="B33" s="43">
        <v>46230</v>
      </c>
      <c r="C33" s="20" t="s">
        <v>281</v>
      </c>
      <c r="D33" s="42" t="s">
        <v>97</v>
      </c>
      <c r="G33" s="47"/>
      <c r="H33" s="47"/>
      <c r="I33" s="48"/>
      <c r="J33" s="49"/>
      <c r="K33" s="50"/>
      <c r="L33" s="22"/>
      <c r="M33" s="51">
        <v>880</v>
      </c>
      <c r="N33" s="52">
        <v>2240.6654545454548</v>
      </c>
      <c r="O33" s="52">
        <f>+Tabla7[[#This Row],[USD]]*Tabla7[[#This Row],[TASA DE CAMBIO]]</f>
        <v>1971785.6000000003</v>
      </c>
      <c r="P33" s="51" t="s">
        <v>114</v>
      </c>
      <c r="Q33" s="51" t="s">
        <v>59</v>
      </c>
      <c r="R33" s="43">
        <v>46230</v>
      </c>
      <c r="S33" s="43" t="s">
        <v>173</v>
      </c>
    </row>
    <row r="34" spans="1:19" ht="18" customHeight="1" x14ac:dyDescent="0.25">
      <c r="A34" s="45"/>
      <c r="B34" s="46">
        <v>46230</v>
      </c>
      <c r="C34" s="20" t="s">
        <v>281</v>
      </c>
      <c r="D34" s="42" t="s">
        <v>97</v>
      </c>
      <c r="E34" s="42"/>
      <c r="G34" s="47"/>
      <c r="H34" s="47"/>
      <c r="I34" s="48"/>
      <c r="J34" s="49"/>
      <c r="K34" s="50"/>
      <c r="L34" s="22"/>
      <c r="M34" s="51">
        <v>880</v>
      </c>
      <c r="N34" s="52">
        <v>54601.84</v>
      </c>
      <c r="O34" s="52">
        <f>+Tabla7[[#This Row],[USD]]*Tabla7[[#This Row],[TASA DE CAMBIO]]</f>
        <v>48049619.199999996</v>
      </c>
      <c r="P34" s="51" t="s">
        <v>114</v>
      </c>
      <c r="Q34" s="51" t="s">
        <v>59</v>
      </c>
      <c r="R34" s="43">
        <v>46230</v>
      </c>
      <c r="S34" s="43" t="s">
        <v>173</v>
      </c>
    </row>
    <row r="35" spans="1:19" ht="18" customHeight="1" x14ac:dyDescent="0.25">
      <c r="A35" s="45"/>
      <c r="B35" s="46">
        <v>46231</v>
      </c>
      <c r="C35" s="20" t="s">
        <v>281</v>
      </c>
      <c r="D35" s="42" t="s">
        <v>97</v>
      </c>
      <c r="E35" s="42"/>
      <c r="F35" s="108"/>
      <c r="G35" s="47"/>
      <c r="H35" s="47"/>
      <c r="I35" s="48"/>
      <c r="J35" s="49"/>
      <c r="K35" s="50"/>
      <c r="L35" s="22"/>
      <c r="M35" s="51">
        <v>880.00000000000011</v>
      </c>
      <c r="N35" s="52">
        <v>709.53</v>
      </c>
      <c r="O35" s="52">
        <f>+Tabla7[[#This Row],[USD]]*Tabla7[[#This Row],[TASA DE CAMBIO]]</f>
        <v>624386.4</v>
      </c>
      <c r="P35" s="51" t="s">
        <v>114</v>
      </c>
      <c r="Q35" s="51" t="s">
        <v>59</v>
      </c>
      <c r="R35" s="46">
        <v>46231</v>
      </c>
      <c r="S35" s="43" t="s">
        <v>173</v>
      </c>
    </row>
    <row r="36" spans="1:19" ht="18" customHeight="1" x14ac:dyDescent="0.25">
      <c r="A36" s="45"/>
      <c r="B36" s="46">
        <v>46232</v>
      </c>
      <c r="C36" s="20" t="s">
        <v>313</v>
      </c>
      <c r="D36" s="42" t="s">
        <v>159</v>
      </c>
      <c r="E36" s="42"/>
      <c r="F36" s="108"/>
      <c r="G36" s="47"/>
      <c r="H36" s="47"/>
      <c r="I36" s="48"/>
      <c r="J36" s="49"/>
      <c r="K36" s="50"/>
      <c r="L36" s="22"/>
      <c r="M36" s="51">
        <v>744.22</v>
      </c>
      <c r="N36" s="52">
        <v>3528.3003009862673</v>
      </c>
      <c r="O36" s="52">
        <f>+Tabla7[[#This Row],[USD]]*Tabla7[[#This Row],[TASA DE CAMBIO]]</f>
        <v>2625831.65</v>
      </c>
      <c r="P36" s="51" t="s">
        <v>114</v>
      </c>
      <c r="Q36" s="51" t="s">
        <v>59</v>
      </c>
      <c r="R36" s="43">
        <v>46232</v>
      </c>
      <c r="S36" s="43" t="s">
        <v>310</v>
      </c>
    </row>
    <row r="37" spans="1:19" ht="18" customHeight="1" x14ac:dyDescent="0.25">
      <c r="A37" s="45"/>
      <c r="B37" s="46">
        <v>46234</v>
      </c>
      <c r="C37" s="20" t="s">
        <v>390</v>
      </c>
      <c r="D37" s="42" t="s">
        <v>159</v>
      </c>
      <c r="E37" s="42"/>
      <c r="F37" s="108"/>
      <c r="G37" s="47"/>
      <c r="H37" s="47"/>
      <c r="I37" s="48"/>
      <c r="J37" s="49"/>
      <c r="K37" s="50"/>
      <c r="L37" s="22"/>
      <c r="M37" s="51">
        <v>746.63</v>
      </c>
      <c r="N37" s="52">
        <v>939.22917643277128</v>
      </c>
      <c r="O37" s="52">
        <f>+Tabla7[[#This Row],[USD]]*Tabla7[[#This Row],[TASA DE CAMBIO]]</f>
        <v>701256.68</v>
      </c>
      <c r="P37" s="51" t="s">
        <v>114</v>
      </c>
      <c r="Q37" s="51" t="s">
        <v>59</v>
      </c>
      <c r="R37" s="43">
        <v>46234</v>
      </c>
      <c r="S37" s="270" t="s">
        <v>391</v>
      </c>
    </row>
    <row r="38" spans="1:19" ht="18" customHeight="1" x14ac:dyDescent="0.25">
      <c r="A38" s="45"/>
      <c r="B38" s="46"/>
      <c r="E38" s="42"/>
      <c r="G38" s="47"/>
      <c r="H38" s="47"/>
      <c r="I38" s="48"/>
      <c r="J38" s="49"/>
      <c r="K38" s="50"/>
      <c r="L38" s="22"/>
      <c r="M38" s="51"/>
      <c r="N38" s="52"/>
      <c r="O38" s="52">
        <f>+Tabla7[[#This Row],[USD]]*Tabla7[[#This Row],[TASA DE CAMBIO]]</f>
        <v>0</v>
      </c>
      <c r="P38" s="51"/>
      <c r="Q38" s="51"/>
      <c r="R38" s="46"/>
      <c r="S38" s="43"/>
    </row>
    <row r="39" spans="1:19" ht="18" customHeight="1" x14ac:dyDescent="0.25">
      <c r="A39" s="45"/>
      <c r="B39" s="46"/>
      <c r="E39" s="42"/>
      <c r="G39" s="47"/>
      <c r="H39" s="47"/>
      <c r="I39" s="48"/>
      <c r="J39" s="49"/>
      <c r="K39" s="50"/>
      <c r="L39" s="22"/>
      <c r="M39" s="51"/>
      <c r="N39" s="52"/>
      <c r="O39" s="52">
        <f>+Tabla7[[#This Row],[USD]]*Tabla7[[#This Row],[TASA DE CAMBIO]]</f>
        <v>0</v>
      </c>
      <c r="P39" s="51"/>
      <c r="Q39" s="51"/>
      <c r="R39" s="43"/>
      <c r="S39" s="43"/>
    </row>
    <row r="40" spans="1:19" ht="18" customHeight="1" x14ac:dyDescent="0.25">
      <c r="A40" s="45"/>
      <c r="B40" s="46"/>
      <c r="E40" s="42"/>
      <c r="G40" s="31"/>
      <c r="H40" s="47"/>
      <c r="I40" s="48"/>
      <c r="J40" s="49"/>
      <c r="K40" s="50"/>
      <c r="L40" s="22"/>
      <c r="M40" s="51"/>
      <c r="N40" s="52"/>
      <c r="O40" s="52">
        <f>+Tabla7[[#This Row],[USD]]*Tabla7[[#This Row],[TASA DE CAMBIO]]</f>
        <v>0</v>
      </c>
      <c r="P40" s="51"/>
      <c r="Q40" s="51"/>
      <c r="R40" s="43"/>
      <c r="S40" s="43"/>
    </row>
    <row r="41" spans="1:19" ht="18" customHeight="1" x14ac:dyDescent="0.25">
      <c r="A41" s="45"/>
      <c r="B41" s="46"/>
      <c r="E41" s="42"/>
      <c r="G41" s="31"/>
      <c r="H41" s="47"/>
      <c r="I41" s="48"/>
      <c r="J41" s="49"/>
      <c r="K41" s="50"/>
      <c r="L41" s="22"/>
      <c r="M41" s="51"/>
      <c r="N41" s="52"/>
      <c r="O41" s="52">
        <f>+Tabla7[[#This Row],[USD]]*Tabla7[[#This Row],[TASA DE CAMBIO]]</f>
        <v>0</v>
      </c>
      <c r="P41" s="51"/>
      <c r="Q41" s="51"/>
      <c r="R41" s="43"/>
      <c r="S41" s="43"/>
    </row>
    <row r="42" spans="1:19" ht="18" hidden="1" customHeight="1" x14ac:dyDescent="0.25">
      <c r="A42" s="45"/>
      <c r="B42" s="46">
        <v>46094</v>
      </c>
      <c r="E42" s="42"/>
      <c r="G42" s="31"/>
      <c r="H42" s="47"/>
      <c r="I42" s="48"/>
      <c r="J42" s="49"/>
      <c r="K42" s="50"/>
      <c r="L42" s="22"/>
      <c r="M42" s="51"/>
      <c r="N42" s="52"/>
      <c r="O42" s="52">
        <f>+Tabla7[[#This Row],[USD]]*Tabla7[[#This Row],[TASA DE CAMBIO]]</f>
        <v>0</v>
      </c>
      <c r="P42" s="51" t="s">
        <v>114</v>
      </c>
      <c r="Q42" s="51" t="s">
        <v>59</v>
      </c>
      <c r="R42" s="43">
        <v>46157</v>
      </c>
      <c r="S42" s="43" t="s">
        <v>173</v>
      </c>
    </row>
    <row r="43" spans="1:19" ht="18" hidden="1" customHeight="1" x14ac:dyDescent="0.25">
      <c r="A43" s="45"/>
      <c r="B43" s="46">
        <v>46097</v>
      </c>
      <c r="E43" s="42"/>
      <c r="G43" s="31"/>
      <c r="H43" s="47"/>
      <c r="I43" s="48"/>
      <c r="J43" s="49"/>
      <c r="K43" s="50"/>
      <c r="L43" s="22"/>
      <c r="M43" s="51"/>
      <c r="N43" s="52"/>
      <c r="O43" s="52">
        <f>+Tabla7[[#This Row],[USD]]*Tabla7[[#This Row],[TASA DE CAMBIO]]</f>
        <v>0</v>
      </c>
      <c r="P43" s="51" t="s">
        <v>114</v>
      </c>
      <c r="Q43" s="51" t="s">
        <v>59</v>
      </c>
      <c r="R43" s="43">
        <v>46157</v>
      </c>
      <c r="S43" s="43" t="s">
        <v>173</v>
      </c>
    </row>
    <row r="44" spans="1:19" ht="18" hidden="1" customHeight="1" x14ac:dyDescent="0.25">
      <c r="A44" s="45"/>
      <c r="B44" s="46">
        <v>46097</v>
      </c>
      <c r="E44" s="42"/>
      <c r="G44" s="31"/>
      <c r="H44" s="47"/>
      <c r="I44" s="48"/>
      <c r="J44" s="49"/>
      <c r="K44" s="50"/>
      <c r="L44" s="22"/>
      <c r="M44" s="51"/>
      <c r="N44" s="52"/>
      <c r="O44" s="52">
        <f>+Tabla7[[#This Row],[USD]]*Tabla7[[#This Row],[TASA DE CAMBIO]]</f>
        <v>0</v>
      </c>
      <c r="P44" s="51" t="s">
        <v>114</v>
      </c>
      <c r="Q44" s="51" t="s">
        <v>59</v>
      </c>
      <c r="R44" s="43">
        <v>46157</v>
      </c>
      <c r="S44" s="43" t="s">
        <v>173</v>
      </c>
    </row>
    <row r="45" spans="1:19" ht="18" hidden="1" customHeight="1" x14ac:dyDescent="0.25">
      <c r="A45" s="45"/>
      <c r="B45" s="46">
        <v>46097</v>
      </c>
      <c r="E45" s="42"/>
      <c r="G45" s="47"/>
      <c r="H45" s="47"/>
      <c r="I45" s="48"/>
      <c r="J45" s="49"/>
      <c r="K45" s="50"/>
      <c r="L45" s="22"/>
      <c r="M45" s="51"/>
      <c r="N45" s="52"/>
      <c r="O45" s="52">
        <f>+Tabla7[[#This Row],[USD]]*Tabla7[[#This Row],[TASA DE CAMBIO]]</f>
        <v>0</v>
      </c>
      <c r="P45" s="51" t="s">
        <v>114</v>
      </c>
      <c r="Q45" s="51" t="s">
        <v>59</v>
      </c>
      <c r="R45" s="43">
        <v>46157</v>
      </c>
      <c r="S45" s="43" t="s">
        <v>173</v>
      </c>
    </row>
    <row r="46" spans="1:19" ht="18" hidden="1" customHeight="1" x14ac:dyDescent="0.25">
      <c r="A46" s="45"/>
      <c r="B46" s="46">
        <v>46097</v>
      </c>
      <c r="E46" s="42"/>
      <c r="G46" s="47"/>
      <c r="H46" s="47"/>
      <c r="I46" s="48"/>
      <c r="J46" s="49"/>
      <c r="K46" s="50"/>
      <c r="L46" s="22"/>
      <c r="M46" s="51"/>
      <c r="N46" s="52"/>
      <c r="O46" s="52">
        <f>+Tabla7[[#This Row],[USD]]*Tabla7[[#This Row],[TASA DE CAMBIO]]</f>
        <v>0</v>
      </c>
      <c r="P46" s="51" t="s">
        <v>114</v>
      </c>
      <c r="Q46" s="51" t="s">
        <v>59</v>
      </c>
      <c r="R46" s="43">
        <v>46157</v>
      </c>
      <c r="S46" s="43" t="s">
        <v>173</v>
      </c>
    </row>
    <row r="47" spans="1:19" ht="18" hidden="1" customHeight="1" x14ac:dyDescent="0.25">
      <c r="A47" s="45"/>
      <c r="B47" s="46">
        <v>46097</v>
      </c>
      <c r="E47" s="42"/>
      <c r="G47" s="47"/>
      <c r="H47" s="47"/>
      <c r="I47" s="48"/>
      <c r="J47" s="49"/>
      <c r="K47" s="50"/>
      <c r="L47" s="22"/>
      <c r="M47" s="51"/>
      <c r="N47" s="52"/>
      <c r="O47" s="52">
        <f>+Tabla7[[#This Row],[USD]]*Tabla7[[#This Row],[TASA DE CAMBIO]]</f>
        <v>0</v>
      </c>
      <c r="P47" s="51" t="s">
        <v>114</v>
      </c>
      <c r="Q47" s="51" t="s">
        <v>59</v>
      </c>
      <c r="R47" s="43">
        <v>46157</v>
      </c>
      <c r="S47" s="43" t="s">
        <v>173</v>
      </c>
    </row>
    <row r="48" spans="1:19" ht="13.5" hidden="1" customHeight="1" x14ac:dyDescent="0.25">
      <c r="A48" s="45"/>
      <c r="B48" s="46">
        <v>46097</v>
      </c>
      <c r="E48" s="42"/>
      <c r="G48" s="47"/>
      <c r="H48" s="47"/>
      <c r="I48" s="48"/>
      <c r="J48" s="49"/>
      <c r="K48" s="50"/>
      <c r="L48" s="22"/>
      <c r="M48" s="51"/>
      <c r="N48" s="52"/>
      <c r="O48" s="52">
        <f>+Tabla7[[#This Row],[USD]]*Tabla7[[#This Row],[TASA DE CAMBIO]]</f>
        <v>0</v>
      </c>
      <c r="P48" s="51" t="s">
        <v>114</v>
      </c>
      <c r="Q48" s="51" t="s">
        <v>59</v>
      </c>
      <c r="R48" s="43">
        <v>46157</v>
      </c>
      <c r="S48" s="43" t="s">
        <v>173</v>
      </c>
    </row>
    <row r="49" spans="1:19" ht="13.5" hidden="1" customHeight="1" x14ac:dyDescent="0.25">
      <c r="A49" s="45"/>
      <c r="B49" s="46">
        <v>46101</v>
      </c>
      <c r="E49" s="42"/>
      <c r="G49" s="47"/>
      <c r="H49" s="47"/>
      <c r="I49" s="48"/>
      <c r="J49" s="49"/>
      <c r="K49" s="50"/>
      <c r="L49" s="22"/>
      <c r="M49" s="51"/>
      <c r="N49" s="52"/>
      <c r="O49" s="52">
        <f>+Tabla7[[#This Row],[USD]]*Tabla7[[#This Row],[TASA DE CAMBIO]]</f>
        <v>0</v>
      </c>
      <c r="P49" s="51" t="s">
        <v>114</v>
      </c>
      <c r="Q49" s="51" t="s">
        <v>59</v>
      </c>
      <c r="R49" s="43">
        <v>46157</v>
      </c>
      <c r="S49" s="43" t="s">
        <v>173</v>
      </c>
    </row>
    <row r="50" spans="1:19" ht="13.5" hidden="1" customHeight="1" x14ac:dyDescent="0.25">
      <c r="A50" s="45"/>
      <c r="B50" s="46">
        <v>46102</v>
      </c>
      <c r="E50" s="42"/>
      <c r="G50" s="47"/>
      <c r="H50" s="47"/>
      <c r="I50" s="48"/>
      <c r="J50" s="49"/>
      <c r="K50" s="50"/>
      <c r="L50" s="22"/>
      <c r="M50" s="51"/>
      <c r="N50" s="52"/>
      <c r="O50" s="52">
        <f>+Tabla7[[#This Row],[USD]]*Tabla7[[#This Row],[TASA DE CAMBIO]]</f>
        <v>0</v>
      </c>
      <c r="P50" s="51" t="s">
        <v>114</v>
      </c>
      <c r="Q50" s="51" t="s">
        <v>59</v>
      </c>
      <c r="R50" s="43">
        <v>46157</v>
      </c>
      <c r="S50" s="43" t="s">
        <v>173</v>
      </c>
    </row>
    <row r="51" spans="1:19" ht="13.5" hidden="1" customHeight="1" x14ac:dyDescent="0.25">
      <c r="A51" s="45"/>
      <c r="B51" s="46">
        <v>46106</v>
      </c>
      <c r="E51" s="42"/>
      <c r="G51" s="47"/>
      <c r="H51" s="47"/>
      <c r="I51" s="48"/>
      <c r="J51" s="49"/>
      <c r="K51" s="50"/>
      <c r="L51" s="22"/>
      <c r="M51" s="51"/>
      <c r="N51" s="52"/>
      <c r="O51" s="52">
        <f>+Tabla7[[#This Row],[USD]]*Tabla7[[#This Row],[TASA DE CAMBIO]]</f>
        <v>0</v>
      </c>
      <c r="P51" s="51" t="s">
        <v>114</v>
      </c>
      <c r="Q51" s="51" t="s">
        <v>59</v>
      </c>
      <c r="R51" s="43">
        <v>46157</v>
      </c>
      <c r="S51" s="43" t="s">
        <v>173</v>
      </c>
    </row>
    <row r="52" spans="1:19" ht="13.5" hidden="1" customHeight="1" x14ac:dyDescent="0.25">
      <c r="A52" s="45"/>
      <c r="B52" s="46">
        <v>46106</v>
      </c>
      <c r="E52" s="42"/>
      <c r="G52" s="47"/>
      <c r="H52" s="47"/>
      <c r="I52" s="48"/>
      <c r="J52" s="49"/>
      <c r="K52" s="50"/>
      <c r="L52" s="22"/>
      <c r="M52" s="51"/>
      <c r="N52" s="52"/>
      <c r="O52" s="52">
        <f>+Tabla7[[#This Row],[USD]]*Tabla7[[#This Row],[TASA DE CAMBIO]]</f>
        <v>0</v>
      </c>
      <c r="P52" s="51" t="s">
        <v>114</v>
      </c>
      <c r="Q52" s="51" t="s">
        <v>59</v>
      </c>
      <c r="R52" s="43">
        <v>46157</v>
      </c>
      <c r="S52" s="43" t="s">
        <v>173</v>
      </c>
    </row>
    <row r="53" spans="1:19" ht="13.5" hidden="1" customHeight="1" x14ac:dyDescent="0.25">
      <c r="A53" s="45"/>
      <c r="B53" s="46">
        <v>46106</v>
      </c>
      <c r="E53" s="42"/>
      <c r="G53" s="47"/>
      <c r="H53" s="47"/>
      <c r="I53" s="48"/>
      <c r="J53" s="49"/>
      <c r="K53" s="50"/>
      <c r="L53" s="22"/>
      <c r="M53" s="51"/>
      <c r="N53" s="52"/>
      <c r="O53" s="52">
        <f>+Tabla7[[#This Row],[USD]]*Tabla7[[#This Row],[TASA DE CAMBIO]]</f>
        <v>0</v>
      </c>
      <c r="P53" s="51" t="s">
        <v>114</v>
      </c>
      <c r="Q53" s="51" t="s">
        <v>59</v>
      </c>
      <c r="R53" s="43">
        <v>46157</v>
      </c>
      <c r="S53" s="43" t="s">
        <v>173</v>
      </c>
    </row>
    <row r="54" spans="1:19" ht="13.5" hidden="1" customHeight="1" x14ac:dyDescent="0.25">
      <c r="A54" s="45"/>
      <c r="B54" s="46">
        <v>46106</v>
      </c>
      <c r="E54" s="42"/>
      <c r="G54" s="47"/>
      <c r="H54" s="47"/>
      <c r="I54" s="48"/>
      <c r="J54" s="49"/>
      <c r="K54" s="50"/>
      <c r="L54" s="22"/>
      <c r="M54" s="51"/>
      <c r="N54" s="52"/>
      <c r="O54" s="52">
        <f>+Tabla7[[#This Row],[USD]]*Tabla7[[#This Row],[TASA DE CAMBIO]]</f>
        <v>0</v>
      </c>
      <c r="P54" s="51" t="s">
        <v>114</v>
      </c>
      <c r="Q54" s="51" t="s">
        <v>59</v>
      </c>
      <c r="R54" s="43">
        <v>46157</v>
      </c>
      <c r="S54" s="43" t="s">
        <v>173</v>
      </c>
    </row>
    <row r="55" spans="1:19" ht="13.5" hidden="1" customHeight="1" x14ac:dyDescent="0.25">
      <c r="A55" s="45"/>
      <c r="B55" s="46">
        <v>46107</v>
      </c>
      <c r="E55" s="42"/>
      <c r="G55" s="47"/>
      <c r="H55" s="47"/>
      <c r="I55" s="48"/>
      <c r="J55" s="49"/>
      <c r="K55" s="50"/>
      <c r="L55" s="22"/>
      <c r="M55" s="51"/>
      <c r="N55" s="52"/>
      <c r="O55" s="52">
        <f>+Tabla7[[#This Row],[USD]]*Tabla7[[#This Row],[TASA DE CAMBIO]]</f>
        <v>0</v>
      </c>
      <c r="P55" s="51" t="s">
        <v>114</v>
      </c>
      <c r="Q55" s="51" t="s">
        <v>59</v>
      </c>
      <c r="R55" s="43">
        <v>46157</v>
      </c>
      <c r="S55" s="43" t="s">
        <v>173</v>
      </c>
    </row>
    <row r="56" spans="1:19" ht="13.5" hidden="1" customHeight="1" x14ac:dyDescent="0.25">
      <c r="A56" s="45"/>
      <c r="B56" s="46">
        <v>46107</v>
      </c>
      <c r="E56" s="42"/>
      <c r="G56" s="47"/>
      <c r="H56" s="47"/>
      <c r="I56" s="48"/>
      <c r="J56" s="49"/>
      <c r="K56" s="50"/>
      <c r="L56" s="22"/>
      <c r="M56" s="51"/>
      <c r="N56" s="52"/>
      <c r="O56" s="52">
        <f>+Tabla7[[#This Row],[USD]]*Tabla7[[#This Row],[TASA DE CAMBIO]]</f>
        <v>0</v>
      </c>
      <c r="P56" s="51"/>
      <c r="Q56" s="51"/>
      <c r="R56" s="43"/>
      <c r="S56" s="43"/>
    </row>
    <row r="57" spans="1:19" ht="13.5" hidden="1" customHeight="1" x14ac:dyDescent="0.25">
      <c r="A57" s="45"/>
      <c r="B57" s="46">
        <v>46107</v>
      </c>
      <c r="E57" s="42"/>
      <c r="G57" s="47"/>
      <c r="H57" s="47"/>
      <c r="I57" s="48"/>
      <c r="J57" s="49"/>
      <c r="K57" s="50"/>
      <c r="L57" s="22"/>
      <c r="M57" s="51"/>
      <c r="N57" s="52"/>
      <c r="O57" s="52">
        <f>+Tabla7[[#This Row],[USD]]*Tabla7[[#This Row],[TASA DE CAMBIO]]</f>
        <v>0</v>
      </c>
      <c r="P57" s="51"/>
      <c r="Q57" s="51"/>
      <c r="R57" s="43"/>
      <c r="S57" s="43"/>
    </row>
    <row r="58" spans="1:19" ht="13.5" hidden="1" customHeight="1" x14ac:dyDescent="0.25">
      <c r="A58" s="45"/>
      <c r="B58" s="46">
        <v>46107</v>
      </c>
      <c r="E58" s="42"/>
      <c r="G58" s="47"/>
      <c r="H58" s="47"/>
      <c r="I58" s="48"/>
      <c r="J58" s="49"/>
      <c r="K58" s="50"/>
      <c r="L58" s="22"/>
      <c r="M58" s="51"/>
      <c r="N58" s="52"/>
      <c r="O58" s="52">
        <f>+Tabla7[[#This Row],[USD]]*Tabla7[[#This Row],[TASA DE CAMBIO]]</f>
        <v>0</v>
      </c>
      <c r="P58" s="51"/>
      <c r="Q58" s="51"/>
      <c r="R58" s="43"/>
      <c r="S58" s="43"/>
    </row>
    <row r="59" spans="1:19" ht="13.5" hidden="1" customHeight="1" x14ac:dyDescent="0.25">
      <c r="A59" s="45"/>
      <c r="B59" s="46">
        <v>46108</v>
      </c>
      <c r="E59" s="42"/>
      <c r="G59" s="47"/>
      <c r="H59" s="47"/>
      <c r="I59" s="48"/>
      <c r="J59" s="49"/>
      <c r="K59" s="50"/>
      <c r="L59" s="22"/>
      <c r="M59" s="51"/>
      <c r="N59" s="52"/>
      <c r="O59" s="52">
        <f>+Tabla7[[#This Row],[USD]]*Tabla7[[#This Row],[TASA DE CAMBIO]]</f>
        <v>0</v>
      </c>
      <c r="P59" s="51"/>
      <c r="Q59" s="51"/>
      <c r="R59" s="43"/>
      <c r="S59" s="43"/>
    </row>
    <row r="60" spans="1:19" ht="13.5" hidden="1" customHeight="1" x14ac:dyDescent="0.25">
      <c r="A60" s="45"/>
      <c r="B60" s="46">
        <v>46111</v>
      </c>
      <c r="E60" s="42"/>
      <c r="G60" s="47"/>
      <c r="H60" s="47"/>
      <c r="I60" s="48"/>
      <c r="J60" s="49"/>
      <c r="K60" s="50"/>
      <c r="L60" s="22"/>
      <c r="M60" s="51"/>
      <c r="N60" s="52"/>
      <c r="O60" s="52">
        <f>+Tabla7[[#This Row],[USD]]*Tabla7[[#This Row],[TASA DE CAMBIO]]</f>
        <v>0</v>
      </c>
      <c r="P60" s="51"/>
      <c r="Q60" s="51"/>
      <c r="R60" s="43"/>
      <c r="S60" s="43"/>
    </row>
    <row r="61" spans="1:19" ht="13.5" hidden="1" customHeight="1" x14ac:dyDescent="0.25">
      <c r="A61" s="45"/>
      <c r="B61" s="46">
        <v>46112</v>
      </c>
      <c r="E61" s="42"/>
      <c r="G61" s="47"/>
      <c r="H61" s="47"/>
      <c r="I61" s="48"/>
      <c r="J61" s="49"/>
      <c r="K61" s="50"/>
      <c r="L61" s="22"/>
      <c r="M61" s="51"/>
      <c r="N61" s="52"/>
      <c r="O61" s="52">
        <f>+Tabla7[[#This Row],[USD]]*Tabla7[[#This Row],[TASA DE CAMBIO]]</f>
        <v>0</v>
      </c>
      <c r="P61" s="51"/>
      <c r="Q61" s="51"/>
      <c r="R61" s="43"/>
      <c r="S61" s="43"/>
    </row>
    <row r="62" spans="1:19" ht="13.5" hidden="1" customHeight="1" x14ac:dyDescent="0.25">
      <c r="A62" s="45"/>
      <c r="B62" s="46"/>
      <c r="E62" s="42"/>
      <c r="G62" s="47"/>
      <c r="H62" s="47"/>
      <c r="I62" s="48"/>
      <c r="J62" s="49"/>
      <c r="K62" s="50"/>
      <c r="L62" s="22"/>
      <c r="M62" s="51"/>
      <c r="N62" s="52"/>
      <c r="O62" s="52">
        <f>+Tabla7[[#This Row],[USD]]*Tabla7[[#This Row],[TASA DE CAMBIO]]</f>
        <v>0</v>
      </c>
      <c r="P62" s="51"/>
      <c r="Q62" s="43"/>
      <c r="R62" s="43"/>
      <c r="S62" s="43"/>
    </row>
    <row r="63" spans="1:19" ht="13.5" hidden="1" customHeight="1" x14ac:dyDescent="0.25">
      <c r="A63" s="45"/>
      <c r="B63" s="46"/>
      <c r="E63" s="42"/>
      <c r="G63" s="47"/>
      <c r="H63" s="47"/>
      <c r="I63" s="48"/>
      <c r="J63" s="49"/>
      <c r="K63" s="50"/>
      <c r="L63" s="22"/>
      <c r="M63" s="51"/>
      <c r="N63" s="52"/>
      <c r="O63" s="52">
        <f>+Tabla7[[#This Row],[USD]]*Tabla7[[#This Row],[TASA DE CAMBIO]]</f>
        <v>0</v>
      </c>
      <c r="P63" s="51"/>
      <c r="Q63" s="43"/>
      <c r="R63" s="43"/>
      <c r="S63" s="43"/>
    </row>
    <row r="64" spans="1:19" ht="18.75" hidden="1" customHeight="1" x14ac:dyDescent="0.25">
      <c r="A64" s="45"/>
      <c r="B64" s="46"/>
      <c r="E64" s="42"/>
      <c r="G64" s="47"/>
      <c r="H64" s="47"/>
      <c r="I64" s="48"/>
      <c r="J64" s="49"/>
      <c r="K64" s="50"/>
      <c r="L64" s="22"/>
      <c r="M64" s="51"/>
      <c r="N64" s="52"/>
      <c r="O64" s="52">
        <f>+Tabla7[[#This Row],[USD]]*Tabla7[[#This Row],[TASA DE CAMBIO]]</f>
        <v>0</v>
      </c>
      <c r="P64" s="51"/>
      <c r="Q64" s="43"/>
      <c r="R64" s="43"/>
      <c r="S64" s="43"/>
    </row>
    <row r="65" spans="1:19" ht="18.75" hidden="1" customHeight="1" x14ac:dyDescent="0.25">
      <c r="A65" s="45"/>
      <c r="B65" s="46"/>
      <c r="E65" s="42"/>
      <c r="G65" s="47"/>
      <c r="H65" s="47"/>
      <c r="I65" s="48"/>
      <c r="J65" s="49"/>
      <c r="K65" s="50"/>
      <c r="L65" s="22"/>
      <c r="M65" s="51"/>
      <c r="N65" s="52">
        <v>0</v>
      </c>
      <c r="O65" s="52">
        <f>+Tabla7[[#This Row],[USD]]*Tabla7[[#This Row],[TASA DE CAMBIO]]</f>
        <v>0</v>
      </c>
      <c r="P65" s="51"/>
      <c r="Q65" s="43"/>
      <c r="R65" s="43"/>
      <c r="S65" s="43"/>
    </row>
    <row r="66" spans="1:19" ht="12" customHeight="1" thickBot="1" x14ac:dyDescent="0.3"/>
    <row r="67" spans="1:19" ht="12.6" thickBot="1" x14ac:dyDescent="0.3">
      <c r="G67" s="54">
        <f t="shared" ref="G67:L67" si="0">SUBTOTAL(109,G13:G66)</f>
        <v>0</v>
      </c>
      <c r="H67" s="54">
        <f t="shared" si="0"/>
        <v>0</v>
      </c>
      <c r="I67" s="54">
        <f t="shared" si="0"/>
        <v>0</v>
      </c>
      <c r="J67" s="54">
        <f t="shared" si="0"/>
        <v>0</v>
      </c>
      <c r="K67" s="54">
        <f t="shared" si="0"/>
        <v>0</v>
      </c>
      <c r="L67" s="54">
        <f t="shared" si="0"/>
        <v>0</v>
      </c>
      <c r="N67" s="54">
        <f>SUM(N7:N66)</f>
        <v>238511.67607344748</v>
      </c>
      <c r="O67" s="54">
        <f>SUM(O7:O66)</f>
        <v>195266472.68200001</v>
      </c>
    </row>
    <row r="68" spans="1:19" x14ac:dyDescent="0.25">
      <c r="P68" s="325"/>
      <c r="Q68" s="325"/>
    </row>
    <row r="70" spans="1:19" x14ac:dyDescent="0.25">
      <c r="P70" s="51"/>
      <c r="Q70" s="55"/>
    </row>
    <row r="71" spans="1:19" x14ac:dyDescent="0.25">
      <c r="D71" s="42" t="s">
        <v>157</v>
      </c>
      <c r="P71" s="51"/>
      <c r="Q71" s="55"/>
    </row>
    <row r="72" spans="1:19" x14ac:dyDescent="0.25">
      <c r="P72" s="51"/>
      <c r="Q72" s="55"/>
    </row>
    <row r="73" spans="1:19" x14ac:dyDescent="0.25">
      <c r="P73" s="51"/>
      <c r="Q73" s="55"/>
    </row>
    <row r="74" spans="1:19" x14ac:dyDescent="0.25">
      <c r="P74" s="51"/>
      <c r="Q74" s="55"/>
    </row>
    <row r="75" spans="1:19" x14ac:dyDescent="0.25">
      <c r="P75" s="51"/>
      <c r="Q75" s="55"/>
    </row>
    <row r="79" spans="1:19" x14ac:dyDescent="0.25">
      <c r="P79" s="325"/>
      <c r="Q79" s="325"/>
    </row>
    <row r="82" spans="12:12" x14ac:dyDescent="0.25">
      <c r="L82" s="25"/>
    </row>
  </sheetData>
  <mergeCells count="3">
    <mergeCell ref="A4:N4"/>
    <mergeCell ref="P68:Q68"/>
    <mergeCell ref="P79:Q79"/>
  </mergeCells>
  <pageMargins left="0.70866141732283472" right="0.70866141732283472" top="0.74803149606299213" bottom="0.74803149606299213" header="0.31496062992125984" footer="0.31496062992125984"/>
  <pageSetup scale="15" fitToHeight="2" orientation="landscape" horizontalDpi="0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4AD7D3-89DD-49E6-8CD3-514697EF376C}">
          <x14:formula1>
            <xm:f>'B.D.'!$E$6:$E$9</xm:f>
          </x14:formula1>
          <xm:sqref>P7:P65</xm:sqref>
        </x14:dataValidation>
        <x14:dataValidation type="list" allowBlank="1" showInputMessage="1" showErrorMessage="1" xr:uid="{13D37369-63A5-4658-B755-DD8ED9473A53}">
          <x14:formula1>
            <xm:f>'B.D.'!$A$6:$A$8</xm:f>
          </x14:formula1>
          <xm:sqref>S27:S30 D7:D65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BE3F-BE02-444B-BF31-CE7A1B69A708}">
  <sheetPr codeName="Hoja9">
    <pageSetUpPr fitToPage="1"/>
  </sheetPr>
  <dimension ref="A1:T144"/>
  <sheetViews>
    <sheetView showGridLines="0" zoomScale="95" zoomScaleNormal="95" workbookViewId="0">
      <pane ySplit="3" topLeftCell="A4" activePane="bottomLeft" state="frozen"/>
      <selection pane="bottomLeft" activeCell="E6" sqref="E6"/>
    </sheetView>
  </sheetViews>
  <sheetFormatPr baseColWidth="10" defaultColWidth="9.109375" defaultRowHeight="12" x14ac:dyDescent="0.25"/>
  <cols>
    <col min="1" max="1" width="6.33203125" style="42" customWidth="1"/>
    <col min="2" max="2" width="12.5546875" style="20" customWidth="1"/>
    <col min="3" max="3" width="35.6640625" style="20" customWidth="1"/>
    <col min="4" max="4" width="68.88671875" style="20" customWidth="1"/>
    <col min="5" max="5" width="32.6640625" style="41" customWidth="1"/>
    <col min="6" max="6" width="18" style="20" hidden="1" customWidth="1"/>
    <col min="7" max="7" width="14.44140625" style="56" hidden="1" customWidth="1"/>
    <col min="8" max="8" width="13" style="20" hidden="1" customWidth="1"/>
    <col min="9" max="9" width="14.44140625" style="20" hidden="1" customWidth="1"/>
    <col min="10" max="10" width="15.44140625" style="20" hidden="1" customWidth="1"/>
    <col min="11" max="11" width="18.109375" style="20" hidden="1" customWidth="1"/>
    <col min="12" max="12" width="20" style="20" hidden="1" customWidth="1"/>
    <col min="13" max="14" width="14.44140625" style="20" hidden="1" customWidth="1"/>
    <col min="15" max="15" width="13.5546875" style="53" customWidth="1"/>
    <col min="16" max="16" width="17.109375" style="25" customWidth="1"/>
    <col min="17" max="17" width="15.88671875" style="25" customWidth="1"/>
    <col min="18" max="18" width="14.44140625" style="57" customWidth="1"/>
    <col min="19" max="19" width="12.44140625" style="57" hidden="1" customWidth="1"/>
    <col min="20" max="20" width="15.44140625" style="42" customWidth="1"/>
    <col min="21" max="16384" width="9.109375" style="20"/>
  </cols>
  <sheetData>
    <row r="1" spans="1:20" x14ac:dyDescent="0.25">
      <c r="A1" s="290" t="s">
        <v>17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19"/>
      <c r="R1" s="19"/>
      <c r="S1" s="19"/>
    </row>
    <row r="2" spans="1:20" ht="12.6" thickBot="1" x14ac:dyDescent="0.3"/>
    <row r="3" spans="1:20" s="53" customFormat="1" ht="24.6" thickBot="1" x14ac:dyDescent="0.35">
      <c r="A3" s="86" t="s">
        <v>7</v>
      </c>
      <c r="B3" s="87" t="s">
        <v>16</v>
      </c>
      <c r="C3" s="86" t="s">
        <v>9</v>
      </c>
      <c r="D3" s="86" t="s">
        <v>136</v>
      </c>
      <c r="E3" s="87" t="s">
        <v>24</v>
      </c>
      <c r="F3" s="87" t="s">
        <v>11</v>
      </c>
      <c r="G3" s="88" t="s">
        <v>6</v>
      </c>
      <c r="H3" s="87" t="s">
        <v>12</v>
      </c>
      <c r="I3" s="87" t="s">
        <v>44</v>
      </c>
      <c r="J3" s="87" t="s">
        <v>2</v>
      </c>
      <c r="K3" s="86" t="s">
        <v>1</v>
      </c>
      <c r="L3" s="86" t="s">
        <v>13</v>
      </c>
      <c r="M3" s="87" t="s">
        <v>14</v>
      </c>
      <c r="N3" s="86" t="s">
        <v>15</v>
      </c>
      <c r="O3" s="134" t="s">
        <v>4</v>
      </c>
      <c r="P3" s="89" t="s">
        <v>5</v>
      </c>
      <c r="Q3" s="89" t="s">
        <v>175</v>
      </c>
      <c r="R3" s="89" t="s">
        <v>133</v>
      </c>
      <c r="S3" s="89" t="s">
        <v>61</v>
      </c>
      <c r="T3" s="87" t="s">
        <v>92</v>
      </c>
    </row>
    <row r="4" spans="1:20" ht="15" customHeight="1" x14ac:dyDescent="0.25">
      <c r="A4" s="42">
        <v>1</v>
      </c>
      <c r="B4" s="46">
        <v>46205</v>
      </c>
      <c r="C4" s="20" t="s">
        <v>392</v>
      </c>
      <c r="D4" s="90" t="s">
        <v>393</v>
      </c>
      <c r="E4" s="42" t="s">
        <v>112</v>
      </c>
      <c r="G4" s="61"/>
      <c r="I4" s="31"/>
      <c r="J4" s="31"/>
      <c r="K4" s="22" t="e">
        <f>+'GASTOS '!#REF!*0.16</f>
        <v>#REF!</v>
      </c>
      <c r="L4" s="52">
        <v>0.75</v>
      </c>
      <c r="M4" s="22" t="e">
        <f>+'GASTOS '!#REF!*'GASTOS '!#REF!</f>
        <v>#REF!</v>
      </c>
      <c r="N4" s="22">
        <v>0</v>
      </c>
      <c r="O4" s="135">
        <v>633.36</v>
      </c>
      <c r="P4" s="137">
        <f>IFERROR( Tabla8[[#This Row],[PAGADO BS]]/Tabla8[[#This Row],[TASA DE CAMBIO]], 0)</f>
        <v>14.494126563092079</v>
      </c>
      <c r="Q4" s="31">
        <v>9180</v>
      </c>
      <c r="R4" s="60" t="s">
        <v>114</v>
      </c>
      <c r="S4" s="60"/>
      <c r="T4" s="46">
        <v>46204</v>
      </c>
    </row>
    <row r="5" spans="1:20" ht="15" customHeight="1" x14ac:dyDescent="0.25">
      <c r="A5" s="42">
        <v>2</v>
      </c>
      <c r="B5" s="46">
        <v>46205</v>
      </c>
      <c r="C5" s="20" t="s">
        <v>110</v>
      </c>
      <c r="D5" s="90" t="s">
        <v>394</v>
      </c>
      <c r="E5" s="41" t="s">
        <v>110</v>
      </c>
      <c r="G5" s="61"/>
      <c r="I5" s="31"/>
      <c r="J5" s="59"/>
      <c r="K5" s="22">
        <f>+'GASTOS '!$J14*0.16</f>
        <v>0</v>
      </c>
      <c r="L5" s="52">
        <v>0.75</v>
      </c>
      <c r="M5" s="22">
        <f>+'GASTOS '!$K14*'GASTOS '!$L14</f>
        <v>0</v>
      </c>
      <c r="N5" s="22">
        <v>0</v>
      </c>
      <c r="O5" s="135">
        <v>633.36</v>
      </c>
      <c r="P5" s="137">
        <f>IFERROR( Tabla8[[#This Row],[PAGADO BS]]/Tabla8[[#This Row],[TASA DE CAMBIO]], 0)</f>
        <v>7.1511462675255775</v>
      </c>
      <c r="Q5" s="31">
        <v>4529.25</v>
      </c>
      <c r="R5" s="60" t="s">
        <v>114</v>
      </c>
      <c r="S5" s="60"/>
      <c r="T5" s="46">
        <v>46204</v>
      </c>
    </row>
    <row r="6" spans="1:20" ht="15" customHeight="1" x14ac:dyDescent="0.25">
      <c r="A6" s="42">
        <v>3</v>
      </c>
      <c r="B6" s="46">
        <v>46205</v>
      </c>
      <c r="C6" s="20" t="s">
        <v>300</v>
      </c>
      <c r="D6" s="90" t="s">
        <v>395</v>
      </c>
      <c r="E6" s="42" t="s">
        <v>161</v>
      </c>
      <c r="F6" s="46"/>
      <c r="G6" s="61"/>
      <c r="H6" s="61"/>
      <c r="I6" s="60"/>
      <c r="J6" s="60"/>
      <c r="K6" s="22">
        <f>+'GASTOS '!$J66*0.16</f>
        <v>0</v>
      </c>
      <c r="L6" s="52"/>
      <c r="M6" s="52" t="e">
        <f>+'GASTOS '!$K66*'GASTOS '!$L66</f>
        <v>#REF!</v>
      </c>
      <c r="N6" s="52"/>
      <c r="O6" s="135">
        <v>633.36</v>
      </c>
      <c r="P6" s="137">
        <f>IFERROR( Tabla8[[#This Row],[PAGADO BS]]/Tabla8[[#This Row],[TASA DE CAMBIO]], 0)</f>
        <v>147.48013767841354</v>
      </c>
      <c r="Q6" s="31">
        <v>93408.02</v>
      </c>
      <c r="R6" s="60" t="s">
        <v>114</v>
      </c>
      <c r="S6" s="60"/>
      <c r="T6" s="46">
        <v>46204</v>
      </c>
    </row>
    <row r="7" spans="1:20" ht="15" customHeight="1" x14ac:dyDescent="0.25">
      <c r="A7" s="42">
        <v>4</v>
      </c>
      <c r="B7" s="46">
        <v>46205</v>
      </c>
      <c r="C7" s="20" t="s">
        <v>396</v>
      </c>
      <c r="D7" s="90" t="s">
        <v>397</v>
      </c>
      <c r="E7" s="42" t="s">
        <v>34</v>
      </c>
      <c r="F7" s="46"/>
      <c r="G7" s="61"/>
      <c r="H7" s="61"/>
      <c r="I7" s="60"/>
      <c r="J7" s="60"/>
      <c r="K7" s="22" t="e">
        <f>+'GASTOS '!#REF!*0.16</f>
        <v>#REF!</v>
      </c>
      <c r="L7" s="52"/>
      <c r="M7" s="52" t="e">
        <f>+'GASTOS '!#REF!*'GASTOS '!#REF!</f>
        <v>#REF!</v>
      </c>
      <c r="N7" s="52"/>
      <c r="O7" s="135">
        <v>633.36</v>
      </c>
      <c r="P7" s="137">
        <f>IFERROR( Tabla8[[#This Row],[PAGADO BS]]/Tabla8[[#This Row],[TASA DE CAMBIO]], 0)</f>
        <v>368.49272135910064</v>
      </c>
      <c r="Q7" s="31">
        <v>233388.55</v>
      </c>
      <c r="R7" s="60" t="s">
        <v>114</v>
      </c>
      <c r="S7" s="60"/>
      <c r="T7" s="46">
        <v>46204</v>
      </c>
    </row>
    <row r="8" spans="1:20" ht="15" customHeight="1" x14ac:dyDescent="0.25">
      <c r="A8" s="42">
        <v>5</v>
      </c>
      <c r="B8" s="46">
        <v>46205</v>
      </c>
      <c r="C8" s="92" t="s">
        <v>302</v>
      </c>
      <c r="D8" s="90" t="s">
        <v>398</v>
      </c>
      <c r="E8" s="41" t="s">
        <v>29</v>
      </c>
      <c r="F8" s="92"/>
      <c r="G8" s="61"/>
      <c r="I8" s="31"/>
      <c r="J8" s="31"/>
      <c r="K8" s="22">
        <f>+'GASTOS '!$J19*0.16</f>
        <v>0</v>
      </c>
      <c r="L8" s="52">
        <v>0.75</v>
      </c>
      <c r="M8" s="22">
        <f>+'GASTOS '!$K19*'GASTOS '!$L19</f>
        <v>0</v>
      </c>
      <c r="N8" s="22">
        <v>0</v>
      </c>
      <c r="O8" s="135">
        <v>639.70000000000005</v>
      </c>
      <c r="P8" s="137">
        <f>IFERROR( Tabla8[[#This Row],[PAGADO BS]]/Tabla8[[#This Row],[TASA DE CAMBIO]], 0)</f>
        <v>391.49999999999994</v>
      </c>
      <c r="Q8" s="31">
        <v>250442.55</v>
      </c>
      <c r="R8" s="60" t="s">
        <v>114</v>
      </c>
      <c r="S8" s="60"/>
      <c r="T8" s="46">
        <v>46205</v>
      </c>
    </row>
    <row r="9" spans="1:20" ht="15" customHeight="1" x14ac:dyDescent="0.25">
      <c r="A9" s="42">
        <v>6</v>
      </c>
      <c r="B9" s="46">
        <v>46205</v>
      </c>
      <c r="C9" s="20" t="s">
        <v>399</v>
      </c>
      <c r="D9" s="90" t="s">
        <v>400</v>
      </c>
      <c r="E9" s="41" t="s">
        <v>98</v>
      </c>
      <c r="G9" s="61"/>
      <c r="I9" s="31"/>
      <c r="J9" s="59"/>
      <c r="K9" s="22">
        <f>+'GASTOS '!$J15*0.16</f>
        <v>0</v>
      </c>
      <c r="L9" s="52">
        <v>0.75</v>
      </c>
      <c r="M9" s="22">
        <f>+'GASTOS '!$K15*'GASTOS '!$L15</f>
        <v>0</v>
      </c>
      <c r="N9" s="22">
        <v>0</v>
      </c>
      <c r="O9" s="135">
        <v>639.70000000000005</v>
      </c>
      <c r="P9" s="137">
        <f>IFERROR( Tabla8[[#This Row],[PAGADO BS]]/Tabla8[[#This Row],[TASA DE CAMBIO]], 0)</f>
        <v>515.57899015163355</v>
      </c>
      <c r="Q9" s="31">
        <v>329815.88</v>
      </c>
      <c r="R9" s="60" t="s">
        <v>114</v>
      </c>
      <c r="S9" s="60"/>
      <c r="T9" s="46">
        <v>46205</v>
      </c>
    </row>
    <row r="10" spans="1:20" ht="15" customHeight="1" x14ac:dyDescent="0.25">
      <c r="A10" s="42">
        <v>7</v>
      </c>
      <c r="B10" s="46">
        <v>46205</v>
      </c>
      <c r="C10" s="20" t="s">
        <v>401</v>
      </c>
      <c r="D10" s="90" t="s">
        <v>402</v>
      </c>
      <c r="E10" s="41" t="s">
        <v>125</v>
      </c>
      <c r="G10" s="61"/>
      <c r="H10" s="62"/>
      <c r="I10" s="31"/>
      <c r="J10" s="59"/>
      <c r="K10" s="22">
        <f>+'GASTOS '!$J16*0.16</f>
        <v>0</v>
      </c>
      <c r="L10" s="52">
        <v>0.75</v>
      </c>
      <c r="M10" s="22">
        <f>+'GASTOS '!$K16*'GASTOS '!$L16</f>
        <v>0</v>
      </c>
      <c r="N10" s="22">
        <v>0</v>
      </c>
      <c r="O10" s="135">
        <v>639.70000000000005</v>
      </c>
      <c r="P10" s="137">
        <f>IFERROR( Tabla8[[#This Row],[PAGADO BS]]/Tabla8[[#This Row],[TASA DE CAMBIO]], 0)</f>
        <v>292.81749257464435</v>
      </c>
      <c r="Q10" s="31">
        <v>187315.35</v>
      </c>
      <c r="R10" s="60" t="s">
        <v>114</v>
      </c>
      <c r="S10" s="60"/>
      <c r="T10" s="46">
        <v>46205</v>
      </c>
    </row>
    <row r="11" spans="1:20" ht="15" customHeight="1" x14ac:dyDescent="0.25">
      <c r="A11" s="42">
        <v>8</v>
      </c>
      <c r="B11" s="46">
        <v>46205</v>
      </c>
      <c r="C11" s="20" t="s">
        <v>403</v>
      </c>
      <c r="D11" s="90" t="s">
        <v>404</v>
      </c>
      <c r="E11" s="42" t="s">
        <v>135</v>
      </c>
      <c r="F11" s="42"/>
      <c r="G11" s="42"/>
      <c r="H11" s="42"/>
      <c r="I11" s="42"/>
      <c r="J11" s="42"/>
      <c r="K11" s="42"/>
      <c r="L11" s="42"/>
      <c r="M11" s="42"/>
      <c r="N11" s="42"/>
      <c r="O11" s="135">
        <v>639.70000000000005</v>
      </c>
      <c r="P11" s="137">
        <f>IFERROR( Tabla8[[#This Row],[PAGADO BS]]/Tabla8[[#This Row],[TASA DE CAMBIO]], 0)</f>
        <v>44.563451617945908</v>
      </c>
      <c r="Q11" s="31">
        <v>28507.24</v>
      </c>
      <c r="R11" s="60" t="s">
        <v>114</v>
      </c>
      <c r="S11" s="60"/>
      <c r="T11" s="46">
        <v>46205</v>
      </c>
    </row>
    <row r="12" spans="1:20" ht="15" customHeight="1" x14ac:dyDescent="0.25">
      <c r="A12" s="42">
        <v>9</v>
      </c>
      <c r="B12" s="46">
        <v>46205</v>
      </c>
      <c r="C12" s="20" t="s">
        <v>377</v>
      </c>
      <c r="D12" s="90" t="s">
        <v>405</v>
      </c>
      <c r="E12" s="42" t="s">
        <v>98</v>
      </c>
      <c r="F12" s="46"/>
      <c r="G12" s="61"/>
      <c r="H12" s="61"/>
      <c r="I12" s="60"/>
      <c r="J12" s="60"/>
      <c r="K12" s="22">
        <f>+'GASTOS '!$J71*0.16</f>
        <v>0</v>
      </c>
      <c r="L12" s="52"/>
      <c r="M12" s="52">
        <f>+'GASTOS '!$K71*'GASTOS '!$L71</f>
        <v>0</v>
      </c>
      <c r="N12" s="52"/>
      <c r="O12" s="50">
        <v>639.70000000000005</v>
      </c>
      <c r="P12" s="137">
        <f>IFERROR( Tabla8[[#This Row],[PAGADO BS]]/Tabla8[[#This Row],[TASA DE CAMBIO]], 0)</f>
        <v>643.5</v>
      </c>
      <c r="Q12" s="31">
        <v>411646.95</v>
      </c>
      <c r="R12" s="60" t="s">
        <v>114</v>
      </c>
      <c r="S12" s="60"/>
      <c r="T12" s="46">
        <v>46205</v>
      </c>
    </row>
    <row r="13" spans="1:20" ht="15" customHeight="1" x14ac:dyDescent="0.25">
      <c r="A13" s="42">
        <v>10</v>
      </c>
      <c r="B13" s="46">
        <v>46205</v>
      </c>
      <c r="C13" s="20" t="s">
        <v>406</v>
      </c>
      <c r="D13" s="90" t="s">
        <v>407</v>
      </c>
      <c r="E13" s="42" t="s">
        <v>130</v>
      </c>
      <c r="F13" s="46"/>
      <c r="G13" s="61"/>
      <c r="H13" s="61"/>
      <c r="I13" s="60"/>
      <c r="J13" s="60"/>
      <c r="K13" s="22"/>
      <c r="L13" s="52"/>
      <c r="M13" s="52"/>
      <c r="N13" s="52"/>
      <c r="O13" s="50">
        <v>639.70000000000005</v>
      </c>
      <c r="P13" s="137">
        <f>IFERROR( Tabla8[[#This Row],[PAGADO BS]]/Tabla8[[#This Row],[TASA DE CAMBIO]], 0)</f>
        <v>125.60973894012818</v>
      </c>
      <c r="Q13" s="31">
        <v>80352.55</v>
      </c>
      <c r="R13" s="60" t="s">
        <v>114</v>
      </c>
      <c r="S13" s="60"/>
      <c r="T13" s="46">
        <v>46205</v>
      </c>
    </row>
    <row r="14" spans="1:20" ht="15" customHeight="1" x14ac:dyDescent="0.25">
      <c r="A14" s="42">
        <v>11</v>
      </c>
      <c r="B14" s="46">
        <v>46205</v>
      </c>
      <c r="C14" s="20" t="s">
        <v>408</v>
      </c>
      <c r="D14" s="90" t="s">
        <v>409</v>
      </c>
      <c r="E14" s="41" t="s">
        <v>424</v>
      </c>
      <c r="G14" s="58"/>
      <c r="I14" s="31"/>
      <c r="J14" s="59"/>
      <c r="K14" s="22">
        <v>0</v>
      </c>
      <c r="L14" s="52">
        <v>0.75</v>
      </c>
      <c r="M14" s="22" t="e">
        <f>+'GASTOS '!$K4*'GASTOS '!$L4</f>
        <v>#REF!</v>
      </c>
      <c r="N14" s="22">
        <v>0</v>
      </c>
      <c r="O14" s="135">
        <v>639.70000000000005</v>
      </c>
      <c r="P14" s="137">
        <f>IFERROR( Tabla8[[#This Row],[PAGADO BS]]/Tabla8[[#This Row],[TASA DE CAMBIO]], 0)</f>
        <v>719.85851180240729</v>
      </c>
      <c r="Q14" s="31">
        <v>460493.49</v>
      </c>
      <c r="R14" s="60" t="s">
        <v>114</v>
      </c>
      <c r="S14" s="60"/>
      <c r="T14" s="46">
        <v>46205</v>
      </c>
    </row>
    <row r="15" spans="1:20" ht="15" customHeight="1" x14ac:dyDescent="0.25">
      <c r="A15" s="42">
        <v>12</v>
      </c>
      <c r="B15" s="46">
        <v>46205</v>
      </c>
      <c r="C15" s="20" t="s">
        <v>307</v>
      </c>
      <c r="D15" s="90" t="s">
        <v>410</v>
      </c>
      <c r="E15" s="41" t="s">
        <v>103</v>
      </c>
      <c r="G15" s="61"/>
      <c r="H15" s="62"/>
      <c r="I15" s="31"/>
      <c r="J15" s="59"/>
      <c r="K15" s="22">
        <v>0</v>
      </c>
      <c r="L15" s="52">
        <v>0.75</v>
      </c>
      <c r="M15" s="22">
        <f>+'GASTOS '!$K5*'GASTOS '!$L5</f>
        <v>0</v>
      </c>
      <c r="N15" s="22">
        <v>0</v>
      </c>
      <c r="O15" s="135">
        <v>639.70000000000005</v>
      </c>
      <c r="P15" s="137">
        <f>IFERROR( Tabla8[[#This Row],[PAGADO BS]]/Tabla8[[#This Row],[TASA DE CAMBIO]], 0)</f>
        <v>59.999999999999993</v>
      </c>
      <c r="Q15" s="31">
        <v>38382</v>
      </c>
      <c r="R15" s="60" t="s">
        <v>114</v>
      </c>
      <c r="S15" s="60"/>
      <c r="T15" s="46">
        <v>46205</v>
      </c>
    </row>
    <row r="16" spans="1:20" ht="15" customHeight="1" x14ac:dyDescent="0.25">
      <c r="A16" s="42">
        <v>13</v>
      </c>
      <c r="B16" s="46">
        <v>46205</v>
      </c>
      <c r="C16" s="20" t="s">
        <v>113</v>
      </c>
      <c r="D16" s="90" t="s">
        <v>412</v>
      </c>
      <c r="E16" s="41" t="s">
        <v>113</v>
      </c>
      <c r="G16" s="61"/>
      <c r="I16" s="31"/>
      <c r="J16" s="59"/>
      <c r="K16" s="22">
        <f>+'GASTOS '!$J7*0.16</f>
        <v>0</v>
      </c>
      <c r="L16" s="52">
        <v>0.75</v>
      </c>
      <c r="M16" s="22" t="e">
        <f>+'GASTOS '!$K7*'GASTOS '!$L7</f>
        <v>#REF!</v>
      </c>
      <c r="N16" s="22">
        <v>0</v>
      </c>
      <c r="O16" s="135">
        <v>652.97</v>
      </c>
      <c r="P16" s="137">
        <f>IFERROR( Tabla8[[#This Row],[PAGADO BS]]/Tabla8[[#This Row],[TASA DE CAMBIO]], 0)</f>
        <v>27.2144508936092</v>
      </c>
      <c r="Q16" s="31">
        <v>17770.22</v>
      </c>
      <c r="R16" s="60" t="s">
        <v>114</v>
      </c>
      <c r="S16" s="60"/>
      <c r="T16" s="46">
        <v>46206</v>
      </c>
    </row>
    <row r="17" spans="1:20" ht="15" customHeight="1" x14ac:dyDescent="0.25">
      <c r="A17" s="42">
        <v>14</v>
      </c>
      <c r="B17" s="46">
        <v>46205</v>
      </c>
      <c r="C17" s="20" t="s">
        <v>423</v>
      </c>
      <c r="D17" s="20" t="s">
        <v>213</v>
      </c>
      <c r="E17" s="42" t="s">
        <v>124</v>
      </c>
      <c r="G17" s="265"/>
      <c r="H17" s="265"/>
      <c r="I17" s="47"/>
      <c r="J17" s="47"/>
      <c r="K17" s="22">
        <f>+'GASTOS '!$J91*0.16</f>
        <v>0</v>
      </c>
      <c r="L17" s="52"/>
      <c r="M17" s="22">
        <f>+'GASTOS '!$K91*'GASTOS '!$L91</f>
        <v>0</v>
      </c>
      <c r="N17" s="22"/>
      <c r="O17" s="50">
        <v>652.97</v>
      </c>
      <c r="P17" s="137">
        <f>IFERROR( Tabla8[[#This Row],[PAGADO BS]]/Tabla8[[#This Row],[TASA DE CAMBIO]], 0)</f>
        <v>50</v>
      </c>
      <c r="Q17" s="31">
        <f>50*Tabla8[[#This Row],[TASA DE CAMBIO]]</f>
        <v>32648.5</v>
      </c>
      <c r="R17" s="267" t="s">
        <v>132</v>
      </c>
      <c r="S17" s="267"/>
      <c r="T17" s="46">
        <v>46205</v>
      </c>
    </row>
    <row r="18" spans="1:20" ht="15" customHeight="1" x14ac:dyDescent="0.25">
      <c r="A18" s="42">
        <v>15</v>
      </c>
      <c r="B18" s="46">
        <v>46206</v>
      </c>
      <c r="C18" s="20" t="s">
        <v>336</v>
      </c>
      <c r="D18" s="90" t="s">
        <v>411</v>
      </c>
      <c r="E18" s="41" t="s">
        <v>104</v>
      </c>
      <c r="G18" s="58"/>
      <c r="I18" s="31"/>
      <c r="J18" s="31"/>
      <c r="K18" s="22">
        <f>+'GASTOS '!$J6*0.16</f>
        <v>0</v>
      </c>
      <c r="L18" s="52">
        <v>0.75</v>
      </c>
      <c r="M18" s="22">
        <f>+'GASTOS '!$K6*'GASTOS '!$L6</f>
        <v>0</v>
      </c>
      <c r="N18" s="22">
        <v>0</v>
      </c>
      <c r="O18" s="135">
        <v>652.97</v>
      </c>
      <c r="P18" s="137">
        <f>IFERROR( Tabla8[[#This Row],[PAGADO BS]]/Tabla8[[#This Row],[TASA DE CAMBIO]], 0)</f>
        <v>1518.7244130664501</v>
      </c>
      <c r="Q18" s="31">
        <v>991681.48</v>
      </c>
      <c r="R18" s="60" t="s">
        <v>114</v>
      </c>
      <c r="S18" s="60"/>
      <c r="T18" s="46">
        <v>46206</v>
      </c>
    </row>
    <row r="19" spans="1:20" ht="15" customHeight="1" x14ac:dyDescent="0.25">
      <c r="A19" s="42">
        <v>16</v>
      </c>
      <c r="B19" s="46">
        <v>46206</v>
      </c>
      <c r="C19" s="20" t="s">
        <v>413</v>
      </c>
      <c r="D19" s="90" t="s">
        <v>414</v>
      </c>
      <c r="E19" s="41" t="s">
        <v>424</v>
      </c>
      <c r="G19" s="61"/>
      <c r="I19" s="31"/>
      <c r="J19" s="31"/>
      <c r="K19" s="22">
        <f>+'GASTOS '!$J8*0.16</f>
        <v>0</v>
      </c>
      <c r="L19" s="52">
        <v>0.75</v>
      </c>
      <c r="M19" s="22">
        <f>+'GASTOS '!$K8*'GASTOS '!$L8</f>
        <v>0</v>
      </c>
      <c r="N19" s="22">
        <v>0</v>
      </c>
      <c r="O19" s="135">
        <v>652.97</v>
      </c>
      <c r="P19" s="137">
        <f>IFERROR( Tabla8[[#This Row],[PAGADO BS]]/Tabla8[[#This Row],[TASA DE CAMBIO]], 0)</f>
        <v>359.60018071274328</v>
      </c>
      <c r="Q19" s="31">
        <v>234808.13</v>
      </c>
      <c r="R19" s="60" t="s">
        <v>114</v>
      </c>
      <c r="S19" s="60"/>
      <c r="T19" s="46">
        <v>46206</v>
      </c>
    </row>
    <row r="20" spans="1:20" ht="15" customHeight="1" x14ac:dyDescent="0.25">
      <c r="A20" s="42">
        <v>17</v>
      </c>
      <c r="B20" s="46">
        <v>46206</v>
      </c>
      <c r="C20" s="20" t="s">
        <v>375</v>
      </c>
      <c r="D20" s="90" t="s">
        <v>415</v>
      </c>
      <c r="E20" s="41" t="s">
        <v>131</v>
      </c>
      <c r="G20" s="61"/>
      <c r="H20" s="62"/>
      <c r="I20" s="31"/>
      <c r="J20" s="31"/>
      <c r="K20" s="22">
        <f>+'GASTOS '!$J9*0.16</f>
        <v>0</v>
      </c>
      <c r="L20" s="52">
        <v>0.75</v>
      </c>
      <c r="M20" s="22">
        <f>+'GASTOS '!$K9*'GASTOS '!$L9</f>
        <v>0</v>
      </c>
      <c r="N20" s="22">
        <v>0</v>
      </c>
      <c r="O20" s="135">
        <v>652.97</v>
      </c>
      <c r="P20" s="137">
        <f>IFERROR( Tabla8[[#This Row],[PAGADO BS]]/Tabla8[[#This Row],[TASA DE CAMBIO]], 0)</f>
        <v>516.27491308942217</v>
      </c>
      <c r="Q20" s="31">
        <v>337112.03</v>
      </c>
      <c r="R20" s="60" t="s">
        <v>114</v>
      </c>
      <c r="S20" s="60"/>
      <c r="T20" s="46">
        <v>46206</v>
      </c>
    </row>
    <row r="21" spans="1:20" ht="15" customHeight="1" x14ac:dyDescent="0.25">
      <c r="A21" s="42">
        <v>18</v>
      </c>
      <c r="B21" s="46">
        <v>46208</v>
      </c>
      <c r="C21" s="20" t="s">
        <v>375</v>
      </c>
      <c r="D21" s="90" t="s">
        <v>416</v>
      </c>
      <c r="E21" s="41" t="s">
        <v>131</v>
      </c>
      <c r="G21" s="61"/>
      <c r="I21" s="31"/>
      <c r="J21" s="31"/>
      <c r="K21" s="22">
        <f>+'GASTOS '!$J10*0.16</f>
        <v>0</v>
      </c>
      <c r="L21" s="52">
        <v>0.75</v>
      </c>
      <c r="M21" s="22">
        <f>+'GASTOS '!$K10*'GASTOS '!$L10</f>
        <v>0</v>
      </c>
      <c r="N21" s="22">
        <v>0</v>
      </c>
      <c r="O21" s="135">
        <v>652.97</v>
      </c>
      <c r="P21" s="137">
        <f>IFERROR( Tabla8[[#This Row],[PAGADO BS]]/Tabla8[[#This Row],[TASA DE CAMBIO]], 0)</f>
        <v>11042.546855138828</v>
      </c>
      <c r="Q21" s="31">
        <v>7210451.8200000003</v>
      </c>
      <c r="R21" s="60" t="s">
        <v>114</v>
      </c>
      <c r="S21" s="60"/>
      <c r="T21" s="46">
        <v>46208</v>
      </c>
    </row>
    <row r="22" spans="1:20" ht="15" customHeight="1" x14ac:dyDescent="0.25">
      <c r="A22" s="42">
        <v>19</v>
      </c>
      <c r="B22" s="46">
        <v>46209</v>
      </c>
      <c r="C22" s="20" t="s">
        <v>328</v>
      </c>
      <c r="D22" s="90" t="s">
        <v>417</v>
      </c>
      <c r="E22" s="41" t="s">
        <v>138</v>
      </c>
      <c r="G22" s="61"/>
      <c r="I22" s="31"/>
      <c r="J22" s="31"/>
      <c r="K22" s="22">
        <f>+'GASTOS '!$J11*0.16</f>
        <v>0</v>
      </c>
      <c r="L22" s="52">
        <v>0.75</v>
      </c>
      <c r="M22" s="22">
        <f>+'GASTOS '!$K11*'GASTOS '!$L11</f>
        <v>0</v>
      </c>
      <c r="N22" s="22">
        <v>0</v>
      </c>
      <c r="O22" s="135">
        <v>667.05</v>
      </c>
      <c r="P22" s="137">
        <f>IFERROR( Tabla8[[#This Row],[PAGADO BS]]/Tabla8[[#This Row],[TASA DE CAMBIO]], 0)</f>
        <v>20</v>
      </c>
      <c r="Q22" s="31">
        <v>13341</v>
      </c>
      <c r="R22" s="60" t="s">
        <v>114</v>
      </c>
      <c r="S22" s="60"/>
      <c r="T22" s="46">
        <v>46209</v>
      </c>
    </row>
    <row r="23" spans="1:20" ht="15" customHeight="1" x14ac:dyDescent="0.25">
      <c r="A23" s="42">
        <v>20</v>
      </c>
      <c r="B23" s="46">
        <v>46210</v>
      </c>
      <c r="C23" s="20" t="s">
        <v>319</v>
      </c>
      <c r="D23" s="90" t="s">
        <v>419</v>
      </c>
      <c r="E23" s="41" t="s">
        <v>73</v>
      </c>
      <c r="G23" s="61"/>
      <c r="I23" s="31"/>
      <c r="J23" s="31"/>
      <c r="K23" s="22">
        <f>+'GASTOS '!$J13*0.16</f>
        <v>0</v>
      </c>
      <c r="L23" s="52">
        <v>0.75</v>
      </c>
      <c r="M23" s="22">
        <f>+'GASTOS '!$K13*'GASTOS '!$L13</f>
        <v>0</v>
      </c>
      <c r="N23" s="22">
        <v>0</v>
      </c>
      <c r="O23" s="135">
        <v>674.93</v>
      </c>
      <c r="P23" s="137">
        <f>IFERROR( Tabla8[[#This Row],[PAGADO BS]]/Tabla8[[#This Row],[TASA DE CAMBIO]], 0)</f>
        <v>142.33668676751665</v>
      </c>
      <c r="Q23" s="31">
        <v>96067.3</v>
      </c>
      <c r="R23" s="60" t="s">
        <v>114</v>
      </c>
      <c r="S23" s="60"/>
      <c r="T23" s="46">
        <v>46210</v>
      </c>
    </row>
    <row r="24" spans="1:20" ht="15" customHeight="1" x14ac:dyDescent="0.25">
      <c r="A24" s="42">
        <v>21</v>
      </c>
      <c r="B24" s="46">
        <v>46210</v>
      </c>
      <c r="C24" s="20" t="s">
        <v>319</v>
      </c>
      <c r="D24" s="90" t="s">
        <v>420</v>
      </c>
      <c r="E24" s="42" t="s">
        <v>3</v>
      </c>
      <c r="F24" s="46"/>
      <c r="G24" s="61"/>
      <c r="H24" s="61"/>
      <c r="I24" s="60"/>
      <c r="J24" s="60"/>
      <c r="K24" s="22">
        <f>+'GASTOS '!$J56*0.16</f>
        <v>0</v>
      </c>
      <c r="L24" s="52"/>
      <c r="M24" s="52">
        <f>+'GASTOS '!$K56*'GASTOS '!$L56</f>
        <v>0</v>
      </c>
      <c r="N24" s="52"/>
      <c r="O24" s="135">
        <v>674.93</v>
      </c>
      <c r="P24" s="137">
        <f>IFERROR( Tabla8[[#This Row],[PAGADO BS]]/Tabla8[[#This Row],[TASA DE CAMBIO]], 0)</f>
        <v>0.52400989732268533</v>
      </c>
      <c r="Q24" s="31">
        <v>353.67</v>
      </c>
      <c r="R24" s="60" t="s">
        <v>114</v>
      </c>
      <c r="S24" s="60"/>
      <c r="T24" s="46">
        <v>46210</v>
      </c>
    </row>
    <row r="25" spans="1:20" ht="15" customHeight="1" x14ac:dyDescent="0.25">
      <c r="A25" s="42">
        <v>22</v>
      </c>
      <c r="B25" s="46">
        <v>46211</v>
      </c>
      <c r="C25" s="20" t="s">
        <v>300</v>
      </c>
      <c r="D25" s="90" t="s">
        <v>418</v>
      </c>
      <c r="E25" s="41" t="s">
        <v>38</v>
      </c>
      <c r="G25" s="61"/>
      <c r="I25" s="31"/>
      <c r="J25" s="31"/>
      <c r="K25" s="22">
        <f>+'GASTOS '!$J12*0.16</f>
        <v>0</v>
      </c>
      <c r="L25" s="52">
        <v>0.75</v>
      </c>
      <c r="M25" s="22">
        <f>+'GASTOS '!$K12*'GASTOS '!$L12</f>
        <v>0</v>
      </c>
      <c r="N25" s="22">
        <v>0</v>
      </c>
      <c r="O25" s="135">
        <v>674.93</v>
      </c>
      <c r="P25" s="137">
        <f>IFERROR( Tabla8[[#This Row],[PAGADO BS]]/Tabla8[[#This Row],[TASA DE CAMBIO]], 0)</f>
        <v>6418.4905990250854</v>
      </c>
      <c r="Q25" s="31">
        <v>4332031.8600000003</v>
      </c>
      <c r="R25" s="60" t="s">
        <v>114</v>
      </c>
      <c r="S25" s="60"/>
      <c r="T25" s="46">
        <v>46210</v>
      </c>
    </row>
    <row r="26" spans="1:20" ht="15" customHeight="1" x14ac:dyDescent="0.25">
      <c r="A26" s="42">
        <v>23</v>
      </c>
      <c r="B26" s="46">
        <v>46212</v>
      </c>
      <c r="C26" s="20" t="s">
        <v>421</v>
      </c>
      <c r="D26" s="90" t="s">
        <v>422</v>
      </c>
      <c r="E26" s="42" t="s">
        <v>75</v>
      </c>
      <c r="F26" s="46"/>
      <c r="G26" s="61"/>
      <c r="H26" s="61"/>
      <c r="I26" s="60"/>
      <c r="J26" s="60"/>
      <c r="K26" s="22">
        <f>+'GASTOS '!$J61*0.16</f>
        <v>0</v>
      </c>
      <c r="L26" s="52"/>
      <c r="M26" s="52">
        <f>+'GASTOS '!$K61*'GASTOS '!$L61</f>
        <v>0</v>
      </c>
      <c r="N26" s="52"/>
      <c r="O26" s="135">
        <v>674.93</v>
      </c>
      <c r="P26" s="137">
        <f>IFERROR( Tabla8[[#This Row],[PAGADO BS]]/Tabla8[[#This Row],[TASA DE CAMBIO]], 0)</f>
        <v>86.896863378424442</v>
      </c>
      <c r="Q26" s="31">
        <v>58649.3</v>
      </c>
      <c r="R26" s="60" t="s">
        <v>114</v>
      </c>
      <c r="S26" s="60"/>
      <c r="T26" s="46">
        <v>46210</v>
      </c>
    </row>
    <row r="27" spans="1:20" ht="15" customHeight="1" x14ac:dyDescent="0.25">
      <c r="A27" s="42">
        <v>24</v>
      </c>
      <c r="B27" s="46">
        <v>46212</v>
      </c>
      <c r="C27" s="20" t="s">
        <v>292</v>
      </c>
      <c r="D27" s="90" t="s">
        <v>293</v>
      </c>
      <c r="E27" s="42" t="s">
        <v>75</v>
      </c>
      <c r="G27" s="61"/>
      <c r="I27" s="31"/>
      <c r="J27" s="59"/>
      <c r="K27" s="22" t="e">
        <f>+'GASTOS '!#REF!*0.16</f>
        <v>#REF!</v>
      </c>
      <c r="L27" s="52">
        <v>0.75</v>
      </c>
      <c r="M27" s="22" t="e">
        <f>+'GASTOS '!#REF!*'GASTOS '!#REF!</f>
        <v>#REF!</v>
      </c>
      <c r="N27" s="22">
        <v>0</v>
      </c>
      <c r="O27" s="135">
        <v>674.93</v>
      </c>
      <c r="P27" s="137">
        <f>IFERROR( Tabla8[[#This Row],[PAGADO BS]]/Tabla8[[#This Row],[TASA DE CAMBIO]], 0)</f>
        <v>180.25863422873485</v>
      </c>
      <c r="Q27" s="31">
        <v>121661.96</v>
      </c>
      <c r="R27" s="60" t="s">
        <v>114</v>
      </c>
      <c r="S27" s="60"/>
      <c r="T27" s="46">
        <v>46210</v>
      </c>
    </row>
    <row r="28" spans="1:20" ht="15" customHeight="1" x14ac:dyDescent="0.25">
      <c r="A28" s="42">
        <v>25</v>
      </c>
      <c r="B28" s="91">
        <v>46212</v>
      </c>
      <c r="C28" s="20" t="s">
        <v>294</v>
      </c>
      <c r="D28" s="44" t="s">
        <v>295</v>
      </c>
      <c r="E28" s="42" t="s">
        <v>108</v>
      </c>
      <c r="F28" s="41"/>
      <c r="G28" s="61"/>
      <c r="H28" s="41"/>
      <c r="I28" s="65"/>
      <c r="J28" s="65"/>
      <c r="K28" s="22" t="e">
        <f>+'GASTOS '!#REF!*0.16</f>
        <v>#REF!</v>
      </c>
      <c r="L28" s="52">
        <v>0.75</v>
      </c>
      <c r="M28" s="22">
        <v>0</v>
      </c>
      <c r="N28" s="22">
        <v>0</v>
      </c>
      <c r="O28" s="135">
        <v>674.93</v>
      </c>
      <c r="P28" s="137">
        <f>IFERROR( Tabla8[[#This Row],[PAGADO BS]]/Tabla8[[#This Row],[TASA DE CAMBIO]], 0)</f>
        <v>330.89988591409485</v>
      </c>
      <c r="Q28" s="31">
        <v>223334.26</v>
      </c>
      <c r="R28" s="60" t="s">
        <v>114</v>
      </c>
      <c r="S28" s="60"/>
      <c r="T28" s="46">
        <v>46210</v>
      </c>
    </row>
    <row r="29" spans="1:20" ht="15" customHeight="1" x14ac:dyDescent="0.25">
      <c r="A29" s="42">
        <v>26</v>
      </c>
      <c r="B29" s="46">
        <v>46212</v>
      </c>
      <c r="C29" s="20" t="s">
        <v>296</v>
      </c>
      <c r="D29" s="90" t="s">
        <v>297</v>
      </c>
      <c r="E29" s="41" t="s">
        <v>25</v>
      </c>
      <c r="G29" s="61"/>
      <c r="H29" s="62"/>
      <c r="I29" s="31"/>
      <c r="J29" s="59"/>
      <c r="K29" s="22">
        <f>+'GASTOS '!$J17*0.16</f>
        <v>0</v>
      </c>
      <c r="L29" s="52">
        <v>0.75</v>
      </c>
      <c r="M29" s="22">
        <f>+'GASTOS '!$K17*'GASTOS '!$L17</f>
        <v>0</v>
      </c>
      <c r="N29" s="22">
        <v>0</v>
      </c>
      <c r="O29" s="135">
        <v>674.93</v>
      </c>
      <c r="P29" s="137">
        <f>IFERROR( Tabla8[[#This Row],[PAGADO BS]]/Tabla8[[#This Row],[TASA DE CAMBIO]], 0)</f>
        <v>19.752048360570726</v>
      </c>
      <c r="Q29" s="31">
        <v>13331.25</v>
      </c>
      <c r="R29" s="60" t="s">
        <v>114</v>
      </c>
      <c r="S29" s="60"/>
      <c r="T29" s="46">
        <v>46210</v>
      </c>
    </row>
    <row r="30" spans="1:20" ht="15" customHeight="1" x14ac:dyDescent="0.25">
      <c r="A30" s="42">
        <v>27</v>
      </c>
      <c r="B30" s="46">
        <v>46212</v>
      </c>
      <c r="C30" s="20" t="s">
        <v>79</v>
      </c>
      <c r="D30" s="90" t="s">
        <v>298</v>
      </c>
      <c r="E30" s="41" t="s">
        <v>79</v>
      </c>
      <c r="G30" s="61"/>
      <c r="I30" s="31"/>
      <c r="J30" s="31"/>
      <c r="K30" s="22">
        <f>+'GASTOS '!$J18*0.16</f>
        <v>0</v>
      </c>
      <c r="L30" s="52">
        <v>0.75</v>
      </c>
      <c r="M30" s="22">
        <f>+'GASTOS '!$K18*'GASTOS '!$L18</f>
        <v>0</v>
      </c>
      <c r="N30" s="22">
        <v>0</v>
      </c>
      <c r="O30" s="135">
        <v>685.94</v>
      </c>
      <c r="P30" s="137">
        <f>IFERROR( Tabla8[[#This Row],[PAGADO BS]]/Tabla8[[#This Row],[TASA DE CAMBIO]], 0)</f>
        <v>22.450024783508763</v>
      </c>
      <c r="Q30" s="31">
        <v>15399.37</v>
      </c>
      <c r="R30" s="60" t="s">
        <v>114</v>
      </c>
      <c r="S30" s="60"/>
      <c r="T30" s="46">
        <v>46211</v>
      </c>
    </row>
    <row r="31" spans="1:20" s="41" customFormat="1" ht="15" customHeight="1" x14ac:dyDescent="0.25">
      <c r="A31" s="42">
        <v>28</v>
      </c>
      <c r="B31" s="46">
        <v>46212</v>
      </c>
      <c r="C31" s="20" t="s">
        <v>54</v>
      </c>
      <c r="D31" s="90" t="s">
        <v>299</v>
      </c>
      <c r="E31" s="41" t="s">
        <v>54</v>
      </c>
      <c r="F31" s="20"/>
      <c r="G31" s="61"/>
      <c r="H31" s="20"/>
      <c r="I31" s="31"/>
      <c r="J31" s="59"/>
      <c r="K31" s="22" t="e">
        <f>+'GASTOS '!#REF!*0.16</f>
        <v>#REF!</v>
      </c>
      <c r="L31" s="52">
        <v>0.75</v>
      </c>
      <c r="M31" s="22" t="e">
        <f>+'GASTOS '!#REF!*'GASTOS '!#REF!</f>
        <v>#REF!</v>
      </c>
      <c r="N31" s="22">
        <v>0</v>
      </c>
      <c r="O31" s="135">
        <v>685.94</v>
      </c>
      <c r="P31" s="137">
        <f>IFERROR( Tabla8[[#This Row],[PAGADO BS]]/Tabla8[[#This Row],[TASA DE CAMBIO]], 0)</f>
        <v>104.61624923462693</v>
      </c>
      <c r="Q31" s="31">
        <v>71760.47</v>
      </c>
      <c r="R31" s="60" t="s">
        <v>114</v>
      </c>
      <c r="S31" s="60"/>
      <c r="T31" s="46">
        <v>46211</v>
      </c>
    </row>
    <row r="32" spans="1:20" ht="15" customHeight="1" x14ac:dyDescent="0.25">
      <c r="A32" s="42">
        <v>29</v>
      </c>
      <c r="B32" s="46">
        <v>46212</v>
      </c>
      <c r="C32" s="20" t="s">
        <v>300</v>
      </c>
      <c r="D32" s="90" t="s">
        <v>301</v>
      </c>
      <c r="E32" s="41" t="s">
        <v>162</v>
      </c>
      <c r="G32" s="61"/>
      <c r="H32" s="62"/>
      <c r="I32" s="31"/>
      <c r="J32" s="59"/>
      <c r="K32" s="22">
        <f>+'GASTOS '!$J20*0.16</f>
        <v>0</v>
      </c>
      <c r="L32" s="52">
        <v>0.75</v>
      </c>
      <c r="M32" s="22">
        <f>+'GASTOS '!$K20*'GASTOS '!$L20</f>
        <v>0</v>
      </c>
      <c r="N32" s="22">
        <v>0</v>
      </c>
      <c r="O32" s="135">
        <v>685.94</v>
      </c>
      <c r="P32" s="137">
        <f>IFERROR( Tabla8[[#This Row],[PAGADO BS]]/Tabla8[[#This Row],[TASA DE CAMBIO]], 0)</f>
        <v>28.313278129282441</v>
      </c>
      <c r="Q32" s="31">
        <v>19421.21</v>
      </c>
      <c r="R32" s="60" t="s">
        <v>114</v>
      </c>
      <c r="S32" s="60"/>
      <c r="T32" s="46">
        <v>46211</v>
      </c>
    </row>
    <row r="33" spans="1:20" ht="15" customHeight="1" x14ac:dyDescent="0.25">
      <c r="A33" s="42">
        <v>30</v>
      </c>
      <c r="B33" s="46">
        <v>46212</v>
      </c>
      <c r="C33" s="20" t="s">
        <v>302</v>
      </c>
      <c r="D33" s="90" t="s">
        <v>303</v>
      </c>
      <c r="E33" s="41" t="s">
        <v>29</v>
      </c>
      <c r="G33" s="61"/>
      <c r="H33" s="62"/>
      <c r="I33" s="31"/>
      <c r="J33" s="59"/>
      <c r="K33" s="22">
        <f>+'GASTOS '!$J21*0.16</f>
        <v>0</v>
      </c>
      <c r="L33" s="52">
        <v>0.75</v>
      </c>
      <c r="M33" s="22">
        <f>+'GASTOS '!$K21*'GASTOS '!$L21</f>
        <v>0</v>
      </c>
      <c r="N33" s="22">
        <v>0</v>
      </c>
      <c r="O33" s="135">
        <v>685.94</v>
      </c>
      <c r="P33" s="137">
        <f>IFERROR( Tabla8[[#This Row],[PAGADO BS]]/Tabla8[[#This Row],[TASA DE CAMBIO]], 0)</f>
        <v>1798.1249963553664</v>
      </c>
      <c r="Q33" s="31">
        <v>1233405.8600000001</v>
      </c>
      <c r="R33" s="60" t="s">
        <v>114</v>
      </c>
      <c r="S33" s="60"/>
      <c r="T33" s="46">
        <v>46211</v>
      </c>
    </row>
    <row r="34" spans="1:20" ht="15" customHeight="1" x14ac:dyDescent="0.25">
      <c r="A34" s="42">
        <v>31</v>
      </c>
      <c r="B34" s="46">
        <v>46212</v>
      </c>
      <c r="C34" s="20" t="s">
        <v>304</v>
      </c>
      <c r="D34" s="90" t="s">
        <v>305</v>
      </c>
      <c r="E34" s="41" t="s">
        <v>29</v>
      </c>
      <c r="G34" s="61"/>
      <c r="H34" s="62"/>
      <c r="I34" s="31"/>
      <c r="J34" s="59"/>
      <c r="K34" s="22">
        <f>+'GASTOS '!$J22*0.16</f>
        <v>0</v>
      </c>
      <c r="L34" s="52">
        <v>0.75</v>
      </c>
      <c r="M34" s="22">
        <f>+'GASTOS '!$K22*'GASTOS '!$L22</f>
        <v>0</v>
      </c>
      <c r="N34" s="22">
        <v>0</v>
      </c>
      <c r="O34" s="135">
        <v>685.94</v>
      </c>
      <c r="P34" s="137">
        <f>IFERROR( Tabla8[[#This Row],[PAGADO BS]]/Tabla8[[#This Row],[TASA DE CAMBIO]], 0)</f>
        <v>83.087485785928791</v>
      </c>
      <c r="Q34" s="31">
        <v>56993.03</v>
      </c>
      <c r="R34" s="60" t="s">
        <v>114</v>
      </c>
      <c r="S34" s="60"/>
      <c r="T34" s="46">
        <v>46211</v>
      </c>
    </row>
    <row r="35" spans="1:20" ht="15" customHeight="1" x14ac:dyDescent="0.25">
      <c r="A35" s="42">
        <v>32</v>
      </c>
      <c r="B35" s="46">
        <v>46212</v>
      </c>
      <c r="C35" s="20" t="s">
        <v>147</v>
      </c>
      <c r="D35" s="90" t="s">
        <v>306</v>
      </c>
      <c r="E35" s="41" t="s">
        <v>125</v>
      </c>
      <c r="G35" s="61"/>
      <c r="H35" s="62"/>
      <c r="I35" s="31"/>
      <c r="J35" s="59"/>
      <c r="K35" s="22">
        <f>+'GASTOS '!$J24*0.16</f>
        <v>0</v>
      </c>
      <c r="L35" s="52">
        <v>0.75</v>
      </c>
      <c r="M35" s="22">
        <f>+'GASTOS '!$K24*'GASTOS '!$L24</f>
        <v>0</v>
      </c>
      <c r="N35" s="22">
        <v>0</v>
      </c>
      <c r="O35" s="135">
        <v>700.22</v>
      </c>
      <c r="P35" s="137">
        <f>IFERROR( Tabla8[[#This Row],[PAGADO BS]]/Tabla8[[#This Row],[TASA DE CAMBIO]], 0)</f>
        <v>333.68999742937933</v>
      </c>
      <c r="Q35" s="31">
        <v>233656.41</v>
      </c>
      <c r="R35" s="60" t="s">
        <v>114</v>
      </c>
      <c r="S35" s="60"/>
      <c r="T35" s="46">
        <v>46212</v>
      </c>
    </row>
    <row r="36" spans="1:20" ht="15" customHeight="1" x14ac:dyDescent="0.25">
      <c r="A36" s="42">
        <v>33</v>
      </c>
      <c r="B36" s="46">
        <v>46212</v>
      </c>
      <c r="C36" s="20" t="s">
        <v>307</v>
      </c>
      <c r="D36" s="90" t="s">
        <v>308</v>
      </c>
      <c r="E36" s="42" t="s">
        <v>163</v>
      </c>
      <c r="G36" s="61"/>
      <c r="H36" s="61"/>
      <c r="I36" s="31"/>
      <c r="J36" s="31"/>
      <c r="K36" s="22">
        <f>+'GASTOS '!$J26*0.16</f>
        <v>0</v>
      </c>
      <c r="L36" s="52"/>
      <c r="M36" s="22">
        <f>+'GASTOS '!$K26*'GASTOS '!$L26</f>
        <v>0</v>
      </c>
      <c r="N36" s="22"/>
      <c r="O36" s="135">
        <v>700.22</v>
      </c>
      <c r="P36" s="137">
        <f>IFERROR( Tabla8[[#This Row],[PAGADO BS]]/Tabla8[[#This Row],[TASA DE CAMBIO]], 0)</f>
        <v>43.154994144697383</v>
      </c>
      <c r="Q36" s="31">
        <v>30217.99</v>
      </c>
      <c r="R36" s="60" t="s">
        <v>114</v>
      </c>
      <c r="S36" s="60"/>
      <c r="T36" s="46">
        <v>46212</v>
      </c>
    </row>
    <row r="37" spans="1:20" ht="15" customHeight="1" x14ac:dyDescent="0.25">
      <c r="A37" s="42">
        <v>34</v>
      </c>
      <c r="B37" s="46">
        <v>46212</v>
      </c>
      <c r="C37" s="20" t="s">
        <v>314</v>
      </c>
      <c r="D37" s="90" t="s">
        <v>315</v>
      </c>
      <c r="E37" s="42" t="s">
        <v>29</v>
      </c>
      <c r="F37" s="46"/>
      <c r="G37" s="61"/>
      <c r="H37" s="61"/>
      <c r="I37" s="60"/>
      <c r="J37" s="60"/>
      <c r="K37" s="22">
        <f>+'GASTOS '!$J68*0.16</f>
        <v>0</v>
      </c>
      <c r="L37" s="52"/>
      <c r="M37" s="52">
        <f>+'GASTOS '!$K68*'GASTOS '!$L68</f>
        <v>0</v>
      </c>
      <c r="N37" s="52"/>
      <c r="O37" s="135">
        <v>700.22</v>
      </c>
      <c r="P37" s="137">
        <f>IFERROR( Tabla8[[#This Row],[PAGADO BS]]/Tabla8[[#This Row],[TASA DE CAMBIO]], 0)</f>
        <v>16.521450401302445</v>
      </c>
      <c r="Q37" s="31">
        <v>11568.65</v>
      </c>
      <c r="R37" s="60" t="s">
        <v>114</v>
      </c>
      <c r="S37" s="60"/>
      <c r="T37" s="46">
        <v>46212</v>
      </c>
    </row>
    <row r="38" spans="1:20" ht="15" customHeight="1" x14ac:dyDescent="0.25">
      <c r="A38" s="42">
        <v>35</v>
      </c>
      <c r="B38" s="46">
        <v>46212</v>
      </c>
      <c r="C38" s="20" t="s">
        <v>423</v>
      </c>
      <c r="D38" s="20" t="s">
        <v>213</v>
      </c>
      <c r="E38" s="42" t="s">
        <v>124</v>
      </c>
      <c r="G38" s="265"/>
      <c r="H38" s="265"/>
      <c r="I38" s="47"/>
      <c r="J38" s="47"/>
      <c r="K38" s="22">
        <f>+'GASTOS '!$J92*0.16</f>
        <v>0</v>
      </c>
      <c r="L38" s="52"/>
      <c r="M38" s="22">
        <f>+'GASTOS '!$K92*'GASTOS '!$L92</f>
        <v>0</v>
      </c>
      <c r="N38" s="22"/>
      <c r="O38" s="135">
        <v>700.22</v>
      </c>
      <c r="P38" s="137">
        <f>IFERROR( Tabla8[[#This Row],[PAGADO BS]]/Tabla8[[#This Row],[TASA DE CAMBIO]], 0)</f>
        <v>50</v>
      </c>
      <c r="Q38" s="47">
        <f>50*700.22</f>
        <v>35011</v>
      </c>
      <c r="R38" s="267" t="s">
        <v>132</v>
      </c>
      <c r="S38" s="267"/>
      <c r="T38" s="46">
        <v>46212</v>
      </c>
    </row>
    <row r="39" spans="1:20" ht="15" customHeight="1" x14ac:dyDescent="0.25">
      <c r="A39" s="42">
        <v>36</v>
      </c>
      <c r="B39" s="46">
        <v>46212</v>
      </c>
      <c r="C39" s="20" t="s">
        <v>423</v>
      </c>
      <c r="D39" s="20" t="s">
        <v>214</v>
      </c>
      <c r="E39" s="42" t="s">
        <v>124</v>
      </c>
      <c r="G39" s="265"/>
      <c r="H39" s="265"/>
      <c r="I39" s="47"/>
      <c r="J39" s="47"/>
      <c r="K39" s="22">
        <f>+'GASTOS '!$J93*0.16</f>
        <v>0</v>
      </c>
      <c r="L39" s="52"/>
      <c r="M39" s="22">
        <f>+'GASTOS '!$K93*'GASTOS '!$L93</f>
        <v>0</v>
      </c>
      <c r="N39" s="22"/>
      <c r="O39" s="135">
        <v>700.22</v>
      </c>
      <c r="P39" s="137">
        <f>IFERROR( Tabla8[[#This Row],[PAGADO BS]]/Tabla8[[#This Row],[TASA DE CAMBIO]], 0)</f>
        <v>90</v>
      </c>
      <c r="Q39" s="47">
        <f>90*700.22</f>
        <v>63019.8</v>
      </c>
      <c r="R39" s="267" t="s">
        <v>132</v>
      </c>
      <c r="S39" s="267"/>
      <c r="T39" s="46">
        <v>46212</v>
      </c>
    </row>
    <row r="40" spans="1:20" ht="15" customHeight="1" x14ac:dyDescent="0.25">
      <c r="A40" s="42">
        <v>37</v>
      </c>
      <c r="B40" s="46">
        <v>46217</v>
      </c>
      <c r="C40" s="20" t="s">
        <v>319</v>
      </c>
      <c r="D40" s="90" t="s">
        <v>320</v>
      </c>
      <c r="E40" s="42" t="s">
        <v>1</v>
      </c>
      <c r="G40" s="61"/>
      <c r="H40" s="61"/>
      <c r="I40" s="31"/>
      <c r="J40" s="31"/>
      <c r="K40" s="22">
        <f>+'GASTOS '!$J28*0.16</f>
        <v>0</v>
      </c>
      <c r="L40" s="52"/>
      <c r="M40" s="22" t="e">
        <f>+'GASTOS '!$K28*'GASTOS '!$L28</f>
        <v>#REF!</v>
      </c>
      <c r="N40" s="22"/>
      <c r="O40" s="135">
        <v>724</v>
      </c>
      <c r="P40" s="137">
        <f>IFERROR( Tabla8[[#This Row],[PAGADO BS]]/Tabla8[[#This Row],[TASA DE CAMBIO]], 0)</f>
        <v>2287.6603176795579</v>
      </c>
      <c r="Q40" s="31">
        <v>1656266.07</v>
      </c>
      <c r="R40" s="60" t="s">
        <v>114</v>
      </c>
      <c r="S40" s="60"/>
      <c r="T40" s="46">
        <v>46217</v>
      </c>
    </row>
    <row r="41" spans="1:20" ht="15" customHeight="1" x14ac:dyDescent="0.25">
      <c r="A41" s="42">
        <v>38</v>
      </c>
      <c r="B41" s="46">
        <v>46217</v>
      </c>
      <c r="C41" s="20" t="s">
        <v>319</v>
      </c>
      <c r="D41" s="90" t="s">
        <v>321</v>
      </c>
      <c r="E41" s="42" t="s">
        <v>14</v>
      </c>
      <c r="G41" s="58"/>
      <c r="I41" s="31"/>
      <c r="J41" s="59"/>
      <c r="K41" s="22">
        <f>+'GASTOS '!$J29*0.16</f>
        <v>0</v>
      </c>
      <c r="L41" s="52">
        <v>0.75</v>
      </c>
      <c r="M41" s="22">
        <f>+'GASTOS '!$K29*'GASTOS '!$L29</f>
        <v>0</v>
      </c>
      <c r="N41" s="22">
        <v>0</v>
      </c>
      <c r="O41" s="135">
        <v>724</v>
      </c>
      <c r="P41" s="137">
        <f>IFERROR( Tabla8[[#This Row],[PAGADO BS]]/Tabla8[[#This Row],[TASA DE CAMBIO]], 0)</f>
        <v>2465.3758425414367</v>
      </c>
      <c r="Q41" s="31">
        <v>1784932.11</v>
      </c>
      <c r="R41" s="60" t="s">
        <v>114</v>
      </c>
      <c r="S41" s="60"/>
      <c r="T41" s="46">
        <v>46217</v>
      </c>
    </row>
    <row r="42" spans="1:20" ht="15" customHeight="1" x14ac:dyDescent="0.25">
      <c r="A42" s="42">
        <v>39</v>
      </c>
      <c r="B42" s="46">
        <v>46217</v>
      </c>
      <c r="C42" s="20" t="s">
        <v>319</v>
      </c>
      <c r="D42" s="90" t="s">
        <v>322</v>
      </c>
      <c r="E42" s="42" t="s">
        <v>37</v>
      </c>
      <c r="G42" s="61"/>
      <c r="I42" s="31"/>
      <c r="J42" s="31"/>
      <c r="K42" s="22">
        <f>+'GASTOS '!$J30*0.16</f>
        <v>0</v>
      </c>
      <c r="L42" s="52">
        <v>0.75</v>
      </c>
      <c r="M42" s="22">
        <f>+'GASTOS '!$K30*'GASTOS '!$L30</f>
        <v>0</v>
      </c>
      <c r="N42" s="22">
        <v>0</v>
      </c>
      <c r="O42" s="135">
        <v>724</v>
      </c>
      <c r="P42" s="137">
        <f>IFERROR( Tabla8[[#This Row],[PAGADO BS]]/Tabla8[[#This Row],[TASA DE CAMBIO]], 0)</f>
        <v>878.40837016574585</v>
      </c>
      <c r="Q42" s="31">
        <v>635967.66</v>
      </c>
      <c r="R42" s="60" t="s">
        <v>114</v>
      </c>
      <c r="S42" s="60"/>
      <c r="T42" s="46">
        <v>46217</v>
      </c>
    </row>
    <row r="43" spans="1:20" ht="15" customHeight="1" x14ac:dyDescent="0.25">
      <c r="A43" s="42">
        <v>40</v>
      </c>
      <c r="B43" s="46">
        <v>46217</v>
      </c>
      <c r="C43" s="20" t="s">
        <v>328</v>
      </c>
      <c r="D43" s="90" t="s">
        <v>329</v>
      </c>
      <c r="E43" s="42" t="s">
        <v>138</v>
      </c>
      <c r="G43" s="61"/>
      <c r="I43" s="31"/>
      <c r="J43" s="31"/>
      <c r="K43" s="22" t="e">
        <f>+'GASTOS '!#REF!*0.16</f>
        <v>#REF!</v>
      </c>
      <c r="L43" s="52">
        <v>0.75</v>
      </c>
      <c r="M43" s="22" t="e">
        <f>+'GASTOS '!#REF!*'GASTOS '!#REF!</f>
        <v>#REF!</v>
      </c>
      <c r="N43" s="22">
        <v>0</v>
      </c>
      <c r="O43" s="135">
        <v>724</v>
      </c>
      <c r="P43" s="137">
        <f>IFERROR( Tabla8[[#This Row],[PAGADO BS]]/Tabla8[[#This Row],[TASA DE CAMBIO]], 0)</f>
        <v>20</v>
      </c>
      <c r="Q43" s="31">
        <v>14480</v>
      </c>
      <c r="R43" s="60" t="s">
        <v>114</v>
      </c>
      <c r="S43" s="60"/>
      <c r="T43" s="46">
        <v>46217</v>
      </c>
    </row>
    <row r="44" spans="1:20" ht="15" customHeight="1" x14ac:dyDescent="0.25">
      <c r="A44" s="42">
        <v>41</v>
      </c>
      <c r="B44" s="46">
        <v>46217</v>
      </c>
      <c r="C44" s="20" t="s">
        <v>330</v>
      </c>
      <c r="D44" s="90" t="s">
        <v>331</v>
      </c>
      <c r="E44" s="42" t="s">
        <v>125</v>
      </c>
      <c r="F44" s="46"/>
      <c r="G44" s="20"/>
      <c r="H44" s="90"/>
      <c r="I44" s="42"/>
      <c r="J44" s="46"/>
      <c r="K44" s="20" t="e">
        <f>+'GASTOS '!#REF!*0.16</f>
        <v>#REF!</v>
      </c>
      <c r="L44" s="90">
        <v>0.75</v>
      </c>
      <c r="M44" s="42" t="e">
        <f>+'GASTOS '!#REF!*'GASTOS '!#REF!</f>
        <v>#REF!</v>
      </c>
      <c r="N44" s="46">
        <v>0</v>
      </c>
      <c r="O44" s="135">
        <v>724</v>
      </c>
      <c r="P44" s="137">
        <f>IFERROR( Tabla8[[#This Row],[PAGADO BS]]/Tabla8[[#This Row],[TASA DE CAMBIO]], 0)</f>
        <v>100.28935082872928</v>
      </c>
      <c r="Q44" s="31">
        <v>72609.490000000005</v>
      </c>
      <c r="R44" s="60" t="s">
        <v>114</v>
      </c>
      <c r="S44" s="60"/>
      <c r="T44" s="46">
        <v>46217</v>
      </c>
    </row>
    <row r="45" spans="1:20" ht="15" customHeight="1" x14ac:dyDescent="0.25">
      <c r="A45" s="42">
        <v>42</v>
      </c>
      <c r="B45" s="46">
        <v>46218</v>
      </c>
      <c r="C45" s="20" t="s">
        <v>324</v>
      </c>
      <c r="D45" s="90" t="s">
        <v>325</v>
      </c>
      <c r="E45" s="42" t="s">
        <v>137</v>
      </c>
      <c r="G45" s="61"/>
      <c r="H45" s="61"/>
      <c r="I45" s="31"/>
      <c r="J45" s="31"/>
      <c r="K45" s="22">
        <f>+'GASTOS '!$J32*0.16</f>
        <v>0</v>
      </c>
      <c r="L45" s="52">
        <v>0.75</v>
      </c>
      <c r="M45" s="22">
        <f>+'GASTOS '!$K32*'GASTOS '!$L32</f>
        <v>0</v>
      </c>
      <c r="N45" s="22">
        <v>0</v>
      </c>
      <c r="O45" s="135">
        <v>724</v>
      </c>
      <c r="P45" s="137">
        <f>IFERROR( Tabla8[[#This Row],[PAGADO BS]]/Tabla8[[#This Row],[TASA DE CAMBIO]], 0)</f>
        <v>274.45861878453042</v>
      </c>
      <c r="Q45" s="31">
        <v>198708.04</v>
      </c>
      <c r="R45" s="60" t="s">
        <v>114</v>
      </c>
      <c r="S45" s="60"/>
      <c r="T45" s="46">
        <v>46217</v>
      </c>
    </row>
    <row r="46" spans="1:20" ht="15" customHeight="1" x14ac:dyDescent="0.25">
      <c r="A46" s="42">
        <v>43</v>
      </c>
      <c r="B46" s="46">
        <v>46218</v>
      </c>
      <c r="C46" s="20" t="s">
        <v>336</v>
      </c>
      <c r="D46" s="90" t="s">
        <v>337</v>
      </c>
      <c r="E46" s="42" t="s">
        <v>26</v>
      </c>
      <c r="F46" s="46"/>
      <c r="G46" s="61"/>
      <c r="H46" s="61"/>
      <c r="I46" s="60"/>
      <c r="J46" s="60"/>
      <c r="K46" s="22"/>
      <c r="L46" s="52"/>
      <c r="M46" s="52"/>
      <c r="N46" s="52"/>
      <c r="O46" s="50">
        <v>725.75</v>
      </c>
      <c r="P46" s="137">
        <f>IFERROR( Tabla8[[#This Row],[PAGADO BS]]/Tabla8[[#This Row],[TASA DE CAMBIO]], 0)</f>
        <v>210.81639683086462</v>
      </c>
      <c r="Q46" s="31">
        <v>153000</v>
      </c>
      <c r="R46" s="60" t="s">
        <v>114</v>
      </c>
      <c r="S46" s="60"/>
      <c r="T46" s="46">
        <v>46218</v>
      </c>
    </row>
    <row r="47" spans="1:20" ht="15" customHeight="1" x14ac:dyDescent="0.25">
      <c r="A47" s="42">
        <v>44</v>
      </c>
      <c r="B47" s="46">
        <v>46218</v>
      </c>
      <c r="C47" s="20" t="s">
        <v>336</v>
      </c>
      <c r="D47" s="90" t="s">
        <v>339</v>
      </c>
      <c r="E47" s="42" t="s">
        <v>105</v>
      </c>
      <c r="F47" s="46"/>
      <c r="G47" s="20"/>
      <c r="H47" s="90"/>
      <c r="I47" s="42"/>
      <c r="J47" s="46"/>
      <c r="K47" s="20" t="e">
        <f>+'GASTOS '!#REF!*0.16</f>
        <v>#REF!</v>
      </c>
      <c r="L47" s="90">
        <v>0.75</v>
      </c>
      <c r="M47" s="42" t="e">
        <f>+'GASTOS '!#REF!*'GASTOS '!#REF!</f>
        <v>#REF!</v>
      </c>
      <c r="N47" s="46">
        <v>0</v>
      </c>
      <c r="O47" s="135">
        <v>725.75</v>
      </c>
      <c r="P47" s="137">
        <f>IFERROR( Tabla8[[#This Row],[PAGADO BS]]/Tabla8[[#This Row],[TASA DE CAMBIO]], 0)</f>
        <v>4563.0579400620045</v>
      </c>
      <c r="Q47" s="31">
        <v>3311639.3</v>
      </c>
      <c r="R47" s="60" t="s">
        <v>114</v>
      </c>
      <c r="S47" s="60"/>
      <c r="T47" s="46">
        <v>46218</v>
      </c>
    </row>
    <row r="48" spans="1:20" ht="15" customHeight="1" x14ac:dyDescent="0.25">
      <c r="A48" s="42">
        <v>45</v>
      </c>
      <c r="B48" s="46">
        <v>46218</v>
      </c>
      <c r="C48" s="20" t="s">
        <v>425</v>
      </c>
      <c r="D48" s="90" t="s">
        <v>348</v>
      </c>
      <c r="E48" s="42" t="s">
        <v>426</v>
      </c>
      <c r="F48" s="46"/>
      <c r="G48" s="61"/>
      <c r="H48" s="61"/>
      <c r="I48" s="60"/>
      <c r="J48" s="60"/>
      <c r="K48" s="22">
        <f>+'GASTOS '!$J59*0.16</f>
        <v>0</v>
      </c>
      <c r="L48" s="52"/>
      <c r="M48" s="52">
        <f>+'GASTOS '!$K59*'GASTOS '!$L59</f>
        <v>0</v>
      </c>
      <c r="N48" s="52"/>
      <c r="O48" s="135">
        <v>732.48</v>
      </c>
      <c r="P48" s="137">
        <f>IFERROR( Tabla8[[#This Row],[PAGADO BS]]/Tabla8[[#This Row],[TASA DE CAMBIO]], 0)</f>
        <v>43.830002184359977</v>
      </c>
      <c r="Q48" s="31">
        <v>32104.6</v>
      </c>
      <c r="R48" s="60" t="s">
        <v>114</v>
      </c>
      <c r="S48" s="60"/>
      <c r="T48" s="46">
        <v>46220</v>
      </c>
    </row>
    <row r="49" spans="1:20" ht="15" customHeight="1" x14ac:dyDescent="0.25">
      <c r="A49" s="42">
        <v>46</v>
      </c>
      <c r="B49" s="46">
        <v>46219</v>
      </c>
      <c r="C49" s="20" t="s">
        <v>307</v>
      </c>
      <c r="D49" s="90" t="s">
        <v>316</v>
      </c>
      <c r="E49" s="42" t="s">
        <v>103</v>
      </c>
      <c r="G49" s="61"/>
      <c r="I49" s="31"/>
      <c r="J49" s="59"/>
      <c r="K49" s="22">
        <f>+'GASTOS '!$J27*0.16</f>
        <v>0</v>
      </c>
      <c r="L49" s="52">
        <v>0.75</v>
      </c>
      <c r="M49" s="22" t="e">
        <f>+'GASTOS '!$K27*'GASTOS '!$L27</f>
        <v>#REF!</v>
      </c>
      <c r="N49" s="22">
        <v>0</v>
      </c>
      <c r="O49" s="135">
        <v>737.88</v>
      </c>
      <c r="P49" s="137">
        <f>IFERROR( Tabla8[[#This Row],[PAGADO BS]]/Tabla8[[#This Row],[TASA DE CAMBIO]], 0)</f>
        <v>80</v>
      </c>
      <c r="Q49" s="31">
        <v>59030.400000000001</v>
      </c>
      <c r="R49" s="60" t="s">
        <v>114</v>
      </c>
      <c r="S49" s="60"/>
      <c r="T49" s="46">
        <v>46216</v>
      </c>
    </row>
    <row r="50" spans="1:20" ht="15" customHeight="1" x14ac:dyDescent="0.25">
      <c r="A50" s="42">
        <v>47</v>
      </c>
      <c r="B50" s="46">
        <v>46219</v>
      </c>
      <c r="C50" s="20" t="s">
        <v>79</v>
      </c>
      <c r="D50" s="90" t="s">
        <v>323</v>
      </c>
      <c r="E50" s="42" t="s">
        <v>79</v>
      </c>
      <c r="G50" s="61"/>
      <c r="H50" s="61"/>
      <c r="I50" s="31"/>
      <c r="J50" s="31"/>
      <c r="K50" s="22">
        <f>+'GASTOS '!$J31*0.16</f>
        <v>0</v>
      </c>
      <c r="L50" s="52">
        <v>0.75</v>
      </c>
      <c r="M50" s="22" t="e">
        <f>+'GASTOS '!$K31*'GASTOS '!$L31</f>
        <v>#REF!</v>
      </c>
      <c r="N50" s="22">
        <v>0</v>
      </c>
      <c r="O50" s="135">
        <v>724</v>
      </c>
      <c r="P50" s="137">
        <f>IFERROR( Tabla8[[#This Row],[PAGADO BS]]/Tabla8[[#This Row],[TASA DE CAMBIO]], 0)</f>
        <v>9.5287016574585639</v>
      </c>
      <c r="Q50" s="31">
        <v>6898.78</v>
      </c>
      <c r="R50" s="60" t="s">
        <v>114</v>
      </c>
      <c r="S50" s="60"/>
      <c r="T50" s="46">
        <v>46217</v>
      </c>
    </row>
    <row r="51" spans="1:20" ht="15" customHeight="1" x14ac:dyDescent="0.25">
      <c r="A51" s="42">
        <v>48</v>
      </c>
      <c r="B51" s="46">
        <v>46219</v>
      </c>
      <c r="C51" s="20" t="s">
        <v>326</v>
      </c>
      <c r="D51" s="90" t="s">
        <v>327</v>
      </c>
      <c r="E51" s="42" t="s">
        <v>27</v>
      </c>
      <c r="G51" s="61"/>
      <c r="H51" s="61"/>
      <c r="I51" s="31"/>
      <c r="J51" s="59"/>
      <c r="K51" s="22">
        <f>+'GASTOS '!$J36*0.16</f>
        <v>0</v>
      </c>
      <c r="L51" s="52">
        <v>0.75</v>
      </c>
      <c r="M51" s="22">
        <f>+'GASTOS '!$K36*'GASTOS '!$L36</f>
        <v>0</v>
      </c>
      <c r="N51" s="22">
        <v>0</v>
      </c>
      <c r="O51" s="135">
        <v>724</v>
      </c>
      <c r="P51" s="137">
        <f>IFERROR( Tabla8[[#This Row],[PAGADO BS]]/Tabla8[[#This Row],[TASA DE CAMBIO]], 0)</f>
        <v>62.725690607734812</v>
      </c>
      <c r="Q51" s="31">
        <v>45413.4</v>
      </c>
      <c r="R51" s="60" t="s">
        <v>114</v>
      </c>
      <c r="S51" s="60"/>
      <c r="T51" s="46">
        <v>46217</v>
      </c>
    </row>
    <row r="52" spans="1:20" ht="15" customHeight="1" x14ac:dyDescent="0.25">
      <c r="A52" s="42">
        <v>49</v>
      </c>
      <c r="B52" s="91">
        <v>46219</v>
      </c>
      <c r="C52" s="20" t="s">
        <v>333</v>
      </c>
      <c r="D52" s="90" t="s">
        <v>334</v>
      </c>
      <c r="E52" s="42" t="s">
        <v>75</v>
      </c>
      <c r="F52" s="91"/>
      <c r="G52" s="20"/>
      <c r="H52" s="44"/>
      <c r="I52" s="42"/>
      <c r="J52" s="91"/>
      <c r="K52" s="20" t="e">
        <f>+'GASTOS '!#REF!*0.16</f>
        <v>#REF!</v>
      </c>
      <c r="L52" s="44">
        <v>0.75</v>
      </c>
      <c r="M52" s="42" t="e">
        <f>+'GASTOS '!#REF!*'GASTOS '!#REF!</f>
        <v>#REF!</v>
      </c>
      <c r="N52" s="91">
        <v>0</v>
      </c>
      <c r="O52" s="135">
        <v>724</v>
      </c>
      <c r="P52" s="137">
        <f>IFERROR( Tabla8[[#This Row],[PAGADO BS]]/Tabla8[[#This Row],[TASA DE CAMBIO]], 0)</f>
        <v>121.37982044198895</v>
      </c>
      <c r="Q52" s="31">
        <v>87878.99</v>
      </c>
      <c r="R52" s="60" t="s">
        <v>114</v>
      </c>
      <c r="S52" s="60"/>
      <c r="T52" s="46">
        <v>46217</v>
      </c>
    </row>
    <row r="53" spans="1:20" ht="15" customHeight="1" x14ac:dyDescent="0.25">
      <c r="A53" s="42">
        <v>50</v>
      </c>
      <c r="B53" s="91">
        <v>46219</v>
      </c>
      <c r="C53" s="20" t="s">
        <v>307</v>
      </c>
      <c r="D53" s="44" t="s">
        <v>335</v>
      </c>
      <c r="E53" s="42" t="s">
        <v>41</v>
      </c>
      <c r="F53" s="91"/>
      <c r="G53" s="20"/>
      <c r="H53" s="44"/>
      <c r="I53" s="42"/>
      <c r="J53" s="91"/>
      <c r="K53" s="20">
        <f>+'GASTOS '!$J37*0.16</f>
        <v>0</v>
      </c>
      <c r="L53" s="44">
        <v>0.75</v>
      </c>
      <c r="M53" s="42">
        <f>+'GASTOS '!$K37*'GASTOS '!$L37</f>
        <v>0</v>
      </c>
      <c r="N53" s="91">
        <v>0</v>
      </c>
      <c r="O53" s="135">
        <v>724</v>
      </c>
      <c r="P53" s="137">
        <f>IFERROR( Tabla8[[#This Row],[PAGADO BS]]/Tabla8[[#This Row],[TASA DE CAMBIO]], 0)</f>
        <v>69.613259668508292</v>
      </c>
      <c r="Q53" s="31">
        <v>50400</v>
      </c>
      <c r="R53" s="60" t="s">
        <v>114</v>
      </c>
      <c r="S53" s="60"/>
      <c r="T53" s="46">
        <v>46217</v>
      </c>
    </row>
    <row r="54" spans="1:20" ht="15" customHeight="1" x14ac:dyDescent="0.25">
      <c r="A54" s="42">
        <v>51</v>
      </c>
      <c r="B54" s="46">
        <v>46219</v>
      </c>
      <c r="C54" s="20" t="s">
        <v>338</v>
      </c>
      <c r="D54" s="90" t="s">
        <v>331</v>
      </c>
      <c r="E54" s="42" t="s">
        <v>125</v>
      </c>
      <c r="F54" s="46"/>
      <c r="G54" s="20"/>
      <c r="H54" s="90"/>
      <c r="I54" s="42"/>
      <c r="J54" s="46"/>
      <c r="K54" s="20" t="e">
        <f>+'GASTOS '!#REF!*0.16</f>
        <v>#REF!</v>
      </c>
      <c r="L54" s="90">
        <v>0.75</v>
      </c>
      <c r="M54" s="42" t="e">
        <f>+'GASTOS '!#REF!*'GASTOS '!#REF!</f>
        <v>#REF!</v>
      </c>
      <c r="N54" s="46">
        <v>0</v>
      </c>
      <c r="O54" s="135">
        <v>725.75</v>
      </c>
      <c r="P54" s="137">
        <f>IFERROR( Tabla8[[#This Row],[PAGADO BS]]/Tabla8[[#This Row],[TASA DE CAMBIO]], 0)</f>
        <v>4443.7811091973826</v>
      </c>
      <c r="Q54" s="31">
        <v>3225074.14</v>
      </c>
      <c r="R54" s="60" t="s">
        <v>114</v>
      </c>
      <c r="S54" s="60"/>
      <c r="T54" s="46">
        <v>46218</v>
      </c>
    </row>
    <row r="55" spans="1:20" ht="15" customHeight="1" x14ac:dyDescent="0.25">
      <c r="A55" s="42">
        <v>52</v>
      </c>
      <c r="B55" s="46">
        <v>46219</v>
      </c>
      <c r="C55" s="20" t="s">
        <v>307</v>
      </c>
      <c r="D55" s="90" t="s">
        <v>340</v>
      </c>
      <c r="E55" s="42" t="s">
        <v>103</v>
      </c>
      <c r="F55" s="46"/>
      <c r="G55" s="61"/>
      <c r="H55" s="61"/>
      <c r="I55" s="60"/>
      <c r="J55" s="60"/>
      <c r="K55" s="22">
        <f>+'GASTOS '!$J69*0.16</f>
        <v>0</v>
      </c>
      <c r="L55" s="52"/>
      <c r="M55" s="52" t="e">
        <f>+'GASTOS '!$K69*'GASTOS '!$L69</f>
        <v>#REF!</v>
      </c>
      <c r="N55" s="52"/>
      <c r="O55" s="135">
        <v>725.75</v>
      </c>
      <c r="P55" s="137">
        <f>IFERROR( Tabla8[[#This Row],[PAGADO BS]]/Tabla8[[#This Row],[TASA DE CAMBIO]], 0)</f>
        <v>175</v>
      </c>
      <c r="Q55" s="31">
        <v>127006.25</v>
      </c>
      <c r="R55" s="60" t="s">
        <v>114</v>
      </c>
      <c r="S55" s="60"/>
      <c r="T55" s="46">
        <v>46218</v>
      </c>
    </row>
    <row r="56" spans="1:20" s="53" customFormat="1" ht="32.25" customHeight="1" x14ac:dyDescent="0.3">
      <c r="A56" s="41">
        <v>53</v>
      </c>
      <c r="B56" s="91">
        <v>46219</v>
      </c>
      <c r="C56" s="53" t="s">
        <v>307</v>
      </c>
      <c r="D56" s="271" t="s">
        <v>341</v>
      </c>
      <c r="E56" s="41" t="s">
        <v>91</v>
      </c>
      <c r="F56" s="91"/>
      <c r="G56" s="61"/>
      <c r="H56" s="61"/>
      <c r="I56" s="65"/>
      <c r="J56" s="65"/>
      <c r="K56" s="50">
        <f>+'GASTOS '!$J42*0.16</f>
        <v>0</v>
      </c>
      <c r="L56" s="51"/>
      <c r="M56" s="51">
        <f>+'GASTOS '!$K42*'GASTOS '!$L42</f>
        <v>0</v>
      </c>
      <c r="N56" s="51"/>
      <c r="O56" s="135">
        <v>725.75</v>
      </c>
      <c r="P56" s="272">
        <f>IFERROR( Tabla8[[#This Row],[PAGADO BS]]/Tabla8[[#This Row],[TASA DE CAMBIO]], 0)</f>
        <v>309.37857388908026</v>
      </c>
      <c r="Q56" s="273">
        <v>224531.5</v>
      </c>
      <c r="R56" s="65" t="s">
        <v>114</v>
      </c>
      <c r="S56" s="65"/>
      <c r="T56" s="91">
        <v>46218</v>
      </c>
    </row>
    <row r="57" spans="1:20" ht="15" customHeight="1" x14ac:dyDescent="0.25">
      <c r="A57" s="42">
        <v>54</v>
      </c>
      <c r="B57" s="46">
        <v>46219</v>
      </c>
      <c r="C57" s="20" t="s">
        <v>307</v>
      </c>
      <c r="D57" s="90" t="s">
        <v>342</v>
      </c>
      <c r="E57" s="42" t="s">
        <v>103</v>
      </c>
      <c r="F57" s="46"/>
      <c r="G57" s="20"/>
      <c r="H57" s="90"/>
      <c r="I57" s="42"/>
      <c r="J57" s="46"/>
      <c r="K57" s="20">
        <f>+'GASTOS '!$J43*0.16</f>
        <v>0</v>
      </c>
      <c r="L57" s="90">
        <v>0.75</v>
      </c>
      <c r="M57" s="42" t="e">
        <f>+'GASTOS '!$K43*'GASTOS '!$L43</f>
        <v>#REF!</v>
      </c>
      <c r="N57" s="46">
        <v>0</v>
      </c>
      <c r="O57" s="135">
        <v>725.75</v>
      </c>
      <c r="P57" s="137">
        <f>IFERROR( Tabla8[[#This Row],[PAGADO BS]]/Tabla8[[#This Row],[TASA DE CAMBIO]], 0)</f>
        <v>49.919311057526699</v>
      </c>
      <c r="Q57" s="31">
        <v>36228.94</v>
      </c>
      <c r="R57" s="60" t="s">
        <v>114</v>
      </c>
      <c r="S57" s="60"/>
      <c r="T57" s="46">
        <v>46218</v>
      </c>
    </row>
    <row r="58" spans="1:20" ht="15" customHeight="1" x14ac:dyDescent="0.25">
      <c r="A58" s="42">
        <v>55</v>
      </c>
      <c r="B58" s="46">
        <v>46219</v>
      </c>
      <c r="C58" s="20" t="s">
        <v>345</v>
      </c>
      <c r="D58" s="90" t="s">
        <v>346</v>
      </c>
      <c r="E58" s="42" t="s">
        <v>91</v>
      </c>
      <c r="F58" s="46"/>
      <c r="G58" s="20"/>
      <c r="H58" s="90"/>
      <c r="I58" s="42"/>
      <c r="J58" s="46"/>
      <c r="K58" s="20" t="e">
        <f>+'GASTOS '!#REF!*0.16</f>
        <v>#REF!</v>
      </c>
      <c r="L58" s="90">
        <v>0.75</v>
      </c>
      <c r="M58" s="42" t="e">
        <f>+'GASTOS '!#REF!*'GASTOS '!#REF!</f>
        <v>#REF!</v>
      </c>
      <c r="N58" s="46">
        <v>0</v>
      </c>
      <c r="O58" s="135">
        <v>727.45</v>
      </c>
      <c r="P58" s="137">
        <f>IFERROR( Tabla8[[#This Row],[PAGADO BS]]/Tabla8[[#This Row],[TASA DE CAMBIO]], 0)</f>
        <v>153.60890782871675</v>
      </c>
      <c r="Q58" s="31">
        <v>111742.8</v>
      </c>
      <c r="R58" s="60" t="s">
        <v>114</v>
      </c>
      <c r="S58" s="60"/>
      <c r="T58" s="46">
        <v>46219</v>
      </c>
    </row>
    <row r="59" spans="1:20" ht="15" customHeight="1" x14ac:dyDescent="0.25">
      <c r="A59" s="42">
        <v>56</v>
      </c>
      <c r="B59" s="46">
        <v>46219</v>
      </c>
      <c r="C59" s="20" t="s">
        <v>307</v>
      </c>
      <c r="D59" s="90" t="s">
        <v>347</v>
      </c>
      <c r="E59" s="42" t="s">
        <v>91</v>
      </c>
      <c r="F59" s="46"/>
      <c r="G59" s="20"/>
      <c r="H59" s="90"/>
      <c r="I59" s="42"/>
      <c r="J59" s="46"/>
      <c r="K59" s="20">
        <f>+'GASTOS '!$J45*0.16</f>
        <v>0</v>
      </c>
      <c r="L59" s="90">
        <v>0.75</v>
      </c>
      <c r="M59" s="42">
        <f>+'GASTOS '!$K45*'GASTOS '!$L45</f>
        <v>0</v>
      </c>
      <c r="N59" s="46">
        <v>0</v>
      </c>
      <c r="O59" s="135">
        <v>727.45</v>
      </c>
      <c r="P59" s="137">
        <f>IFERROR( Tabla8[[#This Row],[PAGADO BS]]/Tabla8[[#This Row],[TASA DE CAMBIO]], 0)</f>
        <v>57.603271702522505</v>
      </c>
      <c r="Q59" s="31">
        <v>41903.5</v>
      </c>
      <c r="R59" s="60" t="s">
        <v>114</v>
      </c>
      <c r="S59" s="60"/>
      <c r="T59" s="46">
        <v>46220</v>
      </c>
    </row>
    <row r="60" spans="1:20" ht="15" customHeight="1" x14ac:dyDescent="0.25">
      <c r="A60" s="42">
        <v>57</v>
      </c>
      <c r="B60" s="46">
        <v>46219</v>
      </c>
      <c r="C60" s="20" t="s">
        <v>326</v>
      </c>
      <c r="D60" s="90" t="s">
        <v>366</v>
      </c>
      <c r="E60" s="42" t="s">
        <v>27</v>
      </c>
      <c r="F60" s="46"/>
      <c r="G60" s="61"/>
      <c r="H60" s="61"/>
      <c r="I60" s="60"/>
      <c r="J60" s="60"/>
      <c r="K60" s="22"/>
      <c r="L60" s="52"/>
      <c r="M60" s="52"/>
      <c r="N60" s="52"/>
      <c r="O60" s="135">
        <v>742.23</v>
      </c>
      <c r="P60" s="137">
        <f>IFERROR( Tabla8[[#This Row],[PAGADO BS]]/Tabla8[[#This Row],[TASA DE CAMBIO]], 0)</f>
        <v>117.35250528811824</v>
      </c>
      <c r="Q60" s="31">
        <v>87102.55</v>
      </c>
      <c r="R60" s="60" t="s">
        <v>114</v>
      </c>
      <c r="S60" s="60"/>
      <c r="T60" s="46">
        <v>46227</v>
      </c>
    </row>
    <row r="61" spans="1:20" ht="15" customHeight="1" x14ac:dyDescent="0.25">
      <c r="A61" s="42">
        <v>58</v>
      </c>
      <c r="B61" s="46">
        <v>46219</v>
      </c>
      <c r="C61" s="20" t="s">
        <v>423</v>
      </c>
      <c r="D61" s="20" t="s">
        <v>213</v>
      </c>
      <c r="E61" s="42" t="s">
        <v>124</v>
      </c>
      <c r="G61" s="265"/>
      <c r="H61" s="265"/>
      <c r="I61" s="47"/>
      <c r="J61" s="47"/>
      <c r="K61" s="22">
        <f>+'GASTOS '!$J94*0.16</f>
        <v>0</v>
      </c>
      <c r="L61" s="52"/>
      <c r="M61" s="22">
        <f>+'GASTOS '!$K94*'GASTOS '!$L94</f>
        <v>0</v>
      </c>
      <c r="N61" s="22"/>
      <c r="O61" s="135">
        <v>742.23</v>
      </c>
      <c r="P61" s="137">
        <f>IFERROR( Tabla8[[#This Row],[PAGADO BS]]/Tabla8[[#This Row],[TASA DE CAMBIO]], 0)</f>
        <v>50</v>
      </c>
      <c r="Q61" s="47">
        <f>50*742.23</f>
        <v>37111.5</v>
      </c>
      <c r="R61" s="267" t="s">
        <v>132</v>
      </c>
      <c r="S61" s="267"/>
      <c r="T61" s="46">
        <v>46219</v>
      </c>
    </row>
    <row r="62" spans="1:20" ht="15" customHeight="1" x14ac:dyDescent="0.25">
      <c r="A62" s="42">
        <v>59</v>
      </c>
      <c r="B62" s="91">
        <v>46220</v>
      </c>
      <c r="C62" s="20" t="s">
        <v>349</v>
      </c>
      <c r="D62" s="90" t="s">
        <v>350</v>
      </c>
      <c r="E62" s="42" t="s">
        <v>41</v>
      </c>
      <c r="F62" s="46"/>
      <c r="G62" s="20"/>
      <c r="H62" s="90"/>
      <c r="I62" s="42"/>
      <c r="J62" s="46"/>
      <c r="K62" s="20">
        <f>+'GASTOS '!$J47*0.16</f>
        <v>0</v>
      </c>
      <c r="L62" s="90">
        <v>0.75</v>
      </c>
      <c r="M62" s="42" t="e">
        <f>+'GASTOS '!$K47*'GASTOS '!$L47</f>
        <v>#REF!</v>
      </c>
      <c r="N62" s="46">
        <v>0</v>
      </c>
      <c r="O62" s="135">
        <v>732.48</v>
      </c>
      <c r="P62" s="137">
        <f>IFERROR( Tabla8[[#This Row],[PAGADO BS]]/Tabla8[[#This Row],[TASA DE CAMBIO]], 0)</f>
        <v>67.59445991699431</v>
      </c>
      <c r="Q62" s="31">
        <v>49511.59</v>
      </c>
      <c r="R62" s="60" t="s">
        <v>114</v>
      </c>
      <c r="S62" s="60"/>
      <c r="T62" s="46">
        <v>46220</v>
      </c>
    </row>
    <row r="63" spans="1:20" ht="15" customHeight="1" x14ac:dyDescent="0.25">
      <c r="A63" s="42">
        <v>60</v>
      </c>
      <c r="B63" s="46">
        <v>46220</v>
      </c>
      <c r="C63" s="20" t="s">
        <v>351</v>
      </c>
      <c r="D63" s="90" t="s">
        <v>352</v>
      </c>
      <c r="E63" s="42" t="s">
        <v>103</v>
      </c>
      <c r="F63" s="46"/>
      <c r="G63" s="61"/>
      <c r="H63" s="61"/>
      <c r="I63" s="60"/>
      <c r="J63" s="60"/>
      <c r="K63" s="22">
        <f>+'GASTOS '!$J52*0.16</f>
        <v>0</v>
      </c>
      <c r="L63" s="52"/>
      <c r="M63" s="52" t="e">
        <f>+'GASTOS '!$K52*'GASTOS '!$L52</f>
        <v>#REF!</v>
      </c>
      <c r="N63" s="52"/>
      <c r="O63" s="135">
        <v>732.48</v>
      </c>
      <c r="P63" s="137">
        <f>IFERROR( Tabla8[[#This Row],[PAGADO BS]]/Tabla8[[#This Row],[TASA DE CAMBIO]], 0)</f>
        <v>14.999863477501092</v>
      </c>
      <c r="Q63" s="31">
        <v>10987.1</v>
      </c>
      <c r="R63" s="60" t="s">
        <v>114</v>
      </c>
      <c r="S63" s="60"/>
      <c r="T63" s="46">
        <v>46220</v>
      </c>
    </row>
    <row r="64" spans="1:20" ht="15" customHeight="1" x14ac:dyDescent="0.25">
      <c r="A64" s="42">
        <v>61</v>
      </c>
      <c r="B64" s="46">
        <v>46220</v>
      </c>
      <c r="C64" s="20" t="s">
        <v>349</v>
      </c>
      <c r="D64" s="90" t="s">
        <v>353</v>
      </c>
      <c r="E64" s="42" t="s">
        <v>184</v>
      </c>
      <c r="F64" s="46"/>
      <c r="G64" s="61"/>
      <c r="H64" s="61"/>
      <c r="I64" s="60"/>
      <c r="J64" s="60"/>
      <c r="K64" s="22">
        <f>+'GASTOS '!$J53*0.16</f>
        <v>0</v>
      </c>
      <c r="L64" s="52"/>
      <c r="M64" s="52">
        <f>+'GASTOS '!$K53*'GASTOS '!$L53</f>
        <v>0</v>
      </c>
      <c r="N64" s="52"/>
      <c r="O64" s="135">
        <v>732.48</v>
      </c>
      <c r="P64" s="137">
        <f>IFERROR( Tabla8[[#This Row],[PAGADO BS]]/Tabla8[[#This Row],[TASA DE CAMBIO]], 0)</f>
        <v>15.078787134119702</v>
      </c>
      <c r="Q64" s="31">
        <v>11044.91</v>
      </c>
      <c r="R64" s="60" t="s">
        <v>114</v>
      </c>
      <c r="S64" s="60"/>
      <c r="T64" s="46">
        <v>46220</v>
      </c>
    </row>
    <row r="65" spans="1:20" ht="15" customHeight="1" x14ac:dyDescent="0.25">
      <c r="A65" s="42">
        <v>62</v>
      </c>
      <c r="B65" s="46">
        <v>46225</v>
      </c>
      <c r="C65" s="20" t="s">
        <v>354</v>
      </c>
      <c r="D65" s="90" t="s">
        <v>355</v>
      </c>
      <c r="E65" s="42" t="s">
        <v>125</v>
      </c>
      <c r="F65" s="46"/>
      <c r="G65" s="61"/>
      <c r="H65" s="61"/>
      <c r="I65" s="60"/>
      <c r="J65" s="60"/>
      <c r="K65" s="22" t="e">
        <f>+'GASTOS '!#REF!*0.16</f>
        <v>#REF!</v>
      </c>
      <c r="L65" s="52"/>
      <c r="M65" s="52" t="e">
        <f>+'GASTOS '!#REF!*'GASTOS '!#REF!</f>
        <v>#REF!</v>
      </c>
      <c r="N65" s="52"/>
      <c r="O65" s="135">
        <v>737.23</v>
      </c>
      <c r="P65" s="137">
        <f>IFERROR( Tabla8[[#This Row],[PAGADO BS]]/Tabla8[[#This Row],[TASA DE CAMBIO]], 0)</f>
        <v>58.854346676071245</v>
      </c>
      <c r="Q65" s="31">
        <v>43389.19</v>
      </c>
      <c r="R65" s="60" t="s">
        <v>114</v>
      </c>
      <c r="S65" s="60"/>
      <c r="T65" s="46">
        <v>46224</v>
      </c>
    </row>
    <row r="66" spans="1:20" ht="15" customHeight="1" x14ac:dyDescent="0.25">
      <c r="A66" s="42">
        <v>63</v>
      </c>
      <c r="B66" s="46">
        <v>46225</v>
      </c>
      <c r="D66" s="90" t="s">
        <v>356</v>
      </c>
      <c r="E66" s="42" t="s">
        <v>91</v>
      </c>
      <c r="F66" s="46"/>
      <c r="G66" s="61"/>
      <c r="H66" s="61"/>
      <c r="I66" s="60"/>
      <c r="J66" s="60"/>
      <c r="K66" s="22" t="e">
        <f>+'GASTOS '!#REF!*0.16</f>
        <v>#REF!</v>
      </c>
      <c r="L66" s="52"/>
      <c r="M66" s="52" t="e">
        <f>+'GASTOS '!#REF!*'GASTOS '!#REF!</f>
        <v>#REF!</v>
      </c>
      <c r="N66" s="52"/>
      <c r="O66" s="135">
        <v>737.23</v>
      </c>
      <c r="P66" s="137">
        <f>IFERROR( Tabla8[[#This Row],[PAGADO BS]]/Tabla8[[#This Row],[TASA DE CAMBIO]], 0)</f>
        <v>19.991861427234376</v>
      </c>
      <c r="Q66" s="31">
        <v>14738.6</v>
      </c>
      <c r="R66" s="60" t="s">
        <v>114</v>
      </c>
      <c r="S66" s="60"/>
      <c r="T66" s="46">
        <v>46224</v>
      </c>
    </row>
    <row r="67" spans="1:20" ht="15" customHeight="1" x14ac:dyDescent="0.25">
      <c r="A67" s="42">
        <v>64</v>
      </c>
      <c r="B67" s="46">
        <v>46225</v>
      </c>
      <c r="C67" s="20" t="s">
        <v>357</v>
      </c>
      <c r="D67" s="90" t="s">
        <v>358</v>
      </c>
      <c r="E67" s="42" t="s">
        <v>183</v>
      </c>
      <c r="F67" s="46"/>
      <c r="G67" s="61"/>
      <c r="H67" s="61"/>
      <c r="I67" s="60"/>
      <c r="J67" s="60"/>
      <c r="K67" s="22">
        <f>+'GASTOS '!$J58*0.16</f>
        <v>0</v>
      </c>
      <c r="L67" s="52"/>
      <c r="M67" s="52" t="e">
        <f>+'GASTOS '!$K58*'GASTOS '!$L58</f>
        <v>#REF!</v>
      </c>
      <c r="N67" s="52"/>
      <c r="O67" s="135">
        <v>737.23</v>
      </c>
      <c r="P67" s="137">
        <f>IFERROR( Tabla8[[#This Row],[PAGADO BS]]/Tabla8[[#This Row],[TASA DE CAMBIO]], 0)</f>
        <v>383.14999389607038</v>
      </c>
      <c r="Q67" s="31">
        <v>282469.67</v>
      </c>
      <c r="R67" s="60" t="s">
        <v>114</v>
      </c>
      <c r="S67" s="60"/>
      <c r="T67" s="46">
        <v>46225</v>
      </c>
    </row>
    <row r="68" spans="1:20" ht="15" customHeight="1" x14ac:dyDescent="0.25">
      <c r="A68" s="42">
        <v>65</v>
      </c>
      <c r="B68" s="46">
        <v>46225</v>
      </c>
      <c r="C68" s="20" t="s">
        <v>359</v>
      </c>
      <c r="D68" s="90" t="s">
        <v>360</v>
      </c>
      <c r="E68" s="42" t="s">
        <v>183</v>
      </c>
      <c r="F68" s="46"/>
      <c r="G68" s="61"/>
      <c r="H68" s="61"/>
      <c r="I68" s="60"/>
      <c r="J68" s="60"/>
      <c r="K68" s="22">
        <f>+'GASTOS '!$J54*0.16</f>
        <v>0</v>
      </c>
      <c r="L68" s="52"/>
      <c r="M68" s="52" t="e">
        <f>+'GASTOS '!$K54*'GASTOS '!$L54</f>
        <v>#REF!</v>
      </c>
      <c r="N68" s="52"/>
      <c r="O68" s="135">
        <v>737.23</v>
      </c>
      <c r="P68" s="137">
        <f>IFERROR( Tabla8[[#This Row],[PAGADO BS]]/Tabla8[[#This Row],[TASA DE CAMBIO]], 0)</f>
        <v>251.75280441653214</v>
      </c>
      <c r="Q68" s="31">
        <v>185599.72</v>
      </c>
      <c r="R68" s="60" t="s">
        <v>114</v>
      </c>
      <c r="S68" s="60"/>
      <c r="T68" s="46">
        <v>46225</v>
      </c>
    </row>
    <row r="69" spans="1:20" ht="15" customHeight="1" x14ac:dyDescent="0.25">
      <c r="A69" s="42">
        <v>66</v>
      </c>
      <c r="B69" s="46">
        <v>46225</v>
      </c>
      <c r="C69" s="20" t="s">
        <v>361</v>
      </c>
      <c r="D69" s="90" t="s">
        <v>362</v>
      </c>
      <c r="E69" s="42" t="s">
        <v>183</v>
      </c>
      <c r="F69" s="46"/>
      <c r="G69" s="61"/>
      <c r="H69" s="61"/>
      <c r="I69" s="60"/>
      <c r="J69" s="60"/>
      <c r="K69" s="22" t="e">
        <f>+'GASTOS '!#REF!*0.16</f>
        <v>#REF!</v>
      </c>
      <c r="L69" s="52"/>
      <c r="M69" s="52" t="e">
        <f>+'GASTOS '!#REF!*'GASTOS '!#REF!</f>
        <v>#REF!</v>
      </c>
      <c r="N69" s="52"/>
      <c r="O69" s="135">
        <v>737.23</v>
      </c>
      <c r="P69" s="137">
        <f>IFERROR( Tabla8[[#This Row],[PAGADO BS]]/Tabla8[[#This Row],[TASA DE CAMBIO]], 0)</f>
        <v>182.75041710185423</v>
      </c>
      <c r="Q69" s="31">
        <v>134729.09</v>
      </c>
      <c r="R69" s="60" t="s">
        <v>114</v>
      </c>
      <c r="S69" s="60"/>
      <c r="T69" s="46">
        <v>46225</v>
      </c>
    </row>
    <row r="70" spans="1:20" ht="15" customHeight="1" x14ac:dyDescent="0.25">
      <c r="A70" s="42">
        <v>67</v>
      </c>
      <c r="B70" s="46">
        <v>46225</v>
      </c>
      <c r="D70" s="90" t="s">
        <v>365</v>
      </c>
      <c r="E70" s="42" t="s">
        <v>182</v>
      </c>
      <c r="F70" s="46"/>
      <c r="G70" s="61"/>
      <c r="H70" s="61"/>
      <c r="I70" s="60"/>
      <c r="J70" s="60"/>
      <c r="K70" s="22">
        <f>+'GASTOS '!$J56*0.16</f>
        <v>0</v>
      </c>
      <c r="L70" s="52"/>
      <c r="M70" s="52">
        <f>+'GASTOS '!$K56*'GASTOS '!$L56</f>
        <v>0</v>
      </c>
      <c r="N70" s="52"/>
      <c r="O70" s="135">
        <v>737.88</v>
      </c>
      <c r="P70" s="137">
        <f>IFERROR( Tabla8[[#This Row],[PAGADO BS]]/Tabla8[[#This Row],[TASA DE CAMBIO]], 0)</f>
        <v>178.00000000000003</v>
      </c>
      <c r="Q70" s="31">
        <v>131342.64000000001</v>
      </c>
      <c r="R70" s="60" t="s">
        <v>114</v>
      </c>
      <c r="S70" s="60"/>
      <c r="T70" s="46">
        <v>46226</v>
      </c>
    </row>
    <row r="71" spans="1:20" ht="15" customHeight="1" x14ac:dyDescent="0.25">
      <c r="A71" s="42">
        <v>68</v>
      </c>
      <c r="B71" s="46">
        <v>46225</v>
      </c>
      <c r="C71" s="20" t="s">
        <v>367</v>
      </c>
      <c r="D71" s="90" t="s">
        <v>368</v>
      </c>
      <c r="E71" s="42" t="s">
        <v>125</v>
      </c>
      <c r="F71" s="46"/>
      <c r="G71" s="61"/>
      <c r="H71" s="61"/>
      <c r="I71" s="60"/>
      <c r="J71" s="60"/>
      <c r="K71" s="22"/>
      <c r="L71" s="52"/>
      <c r="M71" s="52"/>
      <c r="N71" s="52"/>
      <c r="O71" s="135">
        <v>742.23</v>
      </c>
      <c r="P71" s="137">
        <f>IFERROR( Tabla8[[#This Row],[PAGADO BS]]/Tabla8[[#This Row],[TASA DE CAMBIO]], 0)</f>
        <v>140</v>
      </c>
      <c r="Q71" s="31">
        <v>103912.2</v>
      </c>
      <c r="R71" s="60" t="s">
        <v>114</v>
      </c>
      <c r="S71" s="60"/>
      <c r="T71" s="46">
        <v>46227</v>
      </c>
    </row>
    <row r="72" spans="1:20" ht="15" customHeight="1" x14ac:dyDescent="0.25">
      <c r="A72" s="42">
        <v>69</v>
      </c>
      <c r="B72" s="46">
        <v>46226</v>
      </c>
      <c r="C72" s="20" t="s">
        <v>363</v>
      </c>
      <c r="D72" s="90" t="s">
        <v>364</v>
      </c>
      <c r="E72" s="42" t="s">
        <v>197</v>
      </c>
      <c r="F72" s="46"/>
      <c r="G72" s="61"/>
      <c r="H72" s="61"/>
      <c r="I72" s="60"/>
      <c r="J72" s="60"/>
      <c r="K72" s="22">
        <f>+'GASTOS '!$J74*0.16</f>
        <v>0</v>
      </c>
      <c r="L72" s="52"/>
      <c r="M72" s="52" t="e">
        <f>+'GASTOS '!$K74*'GASTOS '!$L74</f>
        <v>#REF!</v>
      </c>
      <c r="N72" s="52"/>
      <c r="O72" s="50">
        <v>737.88</v>
      </c>
      <c r="P72" s="137">
        <f>IFERROR( Tabla8[[#This Row],[PAGADO BS]]/Tabla8[[#This Row],[TASA DE CAMBIO]], 0)</f>
        <v>56.042391716810322</v>
      </c>
      <c r="Q72" s="31">
        <v>41352.559999999998</v>
      </c>
      <c r="R72" s="60" t="s">
        <v>114</v>
      </c>
      <c r="S72" s="60"/>
      <c r="T72" s="46">
        <v>46226</v>
      </c>
    </row>
    <row r="73" spans="1:20" ht="15" customHeight="1" x14ac:dyDescent="0.25">
      <c r="A73" s="42">
        <v>70</v>
      </c>
      <c r="B73" s="46">
        <v>46232</v>
      </c>
      <c r="C73" s="20" t="s">
        <v>32</v>
      </c>
      <c r="D73" s="90" t="s">
        <v>373</v>
      </c>
      <c r="E73" s="42" t="s">
        <v>426</v>
      </c>
      <c r="F73" s="46"/>
      <c r="G73" s="61"/>
      <c r="H73" s="61"/>
      <c r="I73" s="60"/>
      <c r="J73" s="60"/>
      <c r="K73" s="22">
        <f>+'GASTOS '!$J49*0.16</f>
        <v>0</v>
      </c>
      <c r="L73" s="52"/>
      <c r="M73" s="52">
        <f>+'GASTOS '!$K49*'GASTOS '!$L49</f>
        <v>0</v>
      </c>
      <c r="N73" s="52"/>
      <c r="O73" s="135">
        <v>744.22</v>
      </c>
      <c r="P73" s="137">
        <f>IFERROR( Tabla8[[#This Row],[PAGADO BS]]/Tabla8[[#This Row],[TASA DE CAMBIO]], 0)</f>
        <v>5.5524038590739293</v>
      </c>
      <c r="Q73" s="31">
        <v>4132.21</v>
      </c>
      <c r="R73" s="60" t="s">
        <v>114</v>
      </c>
      <c r="S73" s="60"/>
      <c r="T73" s="46">
        <v>46232</v>
      </c>
    </row>
    <row r="74" spans="1:20" ht="15" customHeight="1" x14ac:dyDescent="0.25">
      <c r="A74" s="42">
        <v>71</v>
      </c>
      <c r="B74" s="46">
        <v>46232</v>
      </c>
      <c r="C74" s="20" t="s">
        <v>32</v>
      </c>
      <c r="D74" s="90" t="s">
        <v>374</v>
      </c>
      <c r="E74" s="42" t="s">
        <v>138</v>
      </c>
      <c r="F74" s="46"/>
      <c r="G74" s="61"/>
      <c r="H74" s="61"/>
      <c r="I74" s="60"/>
      <c r="J74" s="60"/>
      <c r="K74" s="22" t="e">
        <f>+'GASTOS '!#REF!*0.16</f>
        <v>#REF!</v>
      </c>
      <c r="L74" s="52"/>
      <c r="M74" s="52" t="e">
        <f>+'GASTOS '!#REF!*'GASTOS '!#REF!</f>
        <v>#REF!</v>
      </c>
      <c r="N74" s="52"/>
      <c r="O74" s="50">
        <v>744.22</v>
      </c>
      <c r="P74" s="137">
        <f>IFERROR( Tabla8[[#This Row],[PAGADO BS]]/Tabla8[[#This Row],[TASA DE CAMBIO]], 0)</f>
        <v>2.6873773884066536</v>
      </c>
      <c r="Q74" s="31">
        <v>2000</v>
      </c>
      <c r="R74" s="60" t="s">
        <v>114</v>
      </c>
      <c r="S74" s="60"/>
      <c r="T74" s="46">
        <v>46232</v>
      </c>
    </row>
    <row r="75" spans="1:20" ht="15" customHeight="1" x14ac:dyDescent="0.25">
      <c r="A75" s="42">
        <v>72</v>
      </c>
      <c r="B75" s="46">
        <v>46232</v>
      </c>
      <c r="C75" s="20" t="s">
        <v>375</v>
      </c>
      <c r="D75" s="90" t="s">
        <v>376</v>
      </c>
      <c r="E75" s="42" t="s">
        <v>131</v>
      </c>
      <c r="F75" s="46"/>
      <c r="G75" s="61"/>
      <c r="H75" s="61"/>
      <c r="I75" s="60"/>
      <c r="J75" s="60"/>
      <c r="K75" s="22">
        <f>+'GASTOS '!$J75*0.16</f>
        <v>0</v>
      </c>
      <c r="L75" s="52"/>
      <c r="M75" s="52">
        <f>+'GASTOS '!$K75*'GASTOS '!$L75</f>
        <v>0</v>
      </c>
      <c r="N75" s="52"/>
      <c r="O75" s="50">
        <v>744.22</v>
      </c>
      <c r="P75" s="137">
        <f>IFERROR( Tabla8[[#This Row],[PAGADO BS]]/Tabla8[[#This Row],[TASA DE CAMBIO]], 0)</f>
        <v>9757.6410066915687</v>
      </c>
      <c r="Q75" s="31">
        <v>7261831.5899999999</v>
      </c>
      <c r="R75" s="60" t="s">
        <v>114</v>
      </c>
      <c r="S75" s="60"/>
      <c r="T75" s="46">
        <v>46232</v>
      </c>
    </row>
    <row r="76" spans="1:20" ht="15" customHeight="1" x14ac:dyDescent="0.25">
      <c r="A76" s="42">
        <v>73</v>
      </c>
      <c r="B76" s="46">
        <v>46232</v>
      </c>
      <c r="C76" s="20" t="s">
        <v>377</v>
      </c>
      <c r="D76" s="90" t="s">
        <v>378</v>
      </c>
      <c r="E76" s="42" t="s">
        <v>98</v>
      </c>
      <c r="F76" s="46"/>
      <c r="G76" s="61"/>
      <c r="H76" s="61"/>
      <c r="I76" s="60"/>
      <c r="J76" s="60"/>
      <c r="K76" s="22">
        <f>+'GASTOS '!$J76*0.16</f>
        <v>0</v>
      </c>
      <c r="L76" s="52"/>
      <c r="M76" s="52">
        <f>+'GASTOS '!$K76*'GASTOS '!$L76</f>
        <v>0</v>
      </c>
      <c r="N76" s="52"/>
      <c r="O76" s="50">
        <v>744.22</v>
      </c>
      <c r="P76" s="137">
        <f>IFERROR( Tabla8[[#This Row],[PAGADO BS]]/Tabla8[[#This Row],[TASA DE CAMBIO]], 0)</f>
        <v>643.50863991830374</v>
      </c>
      <c r="Q76" s="31">
        <v>478912</v>
      </c>
      <c r="R76" s="60" t="s">
        <v>114</v>
      </c>
      <c r="S76" s="60"/>
      <c r="T76" s="46">
        <v>46232</v>
      </c>
    </row>
    <row r="77" spans="1:20" ht="15" customHeight="1" x14ac:dyDescent="0.25">
      <c r="A77" s="42">
        <v>74</v>
      </c>
      <c r="B77" s="46">
        <v>46233</v>
      </c>
      <c r="C77" s="20" t="s">
        <v>32</v>
      </c>
      <c r="D77" s="90" t="s">
        <v>369</v>
      </c>
      <c r="E77" s="42" t="s">
        <v>103</v>
      </c>
      <c r="F77" s="46"/>
      <c r="G77" s="61"/>
      <c r="H77" s="61"/>
      <c r="I77" s="60"/>
      <c r="J77" s="60"/>
      <c r="K77" s="22"/>
      <c r="L77" s="52"/>
      <c r="M77" s="52"/>
      <c r="N77" s="52"/>
      <c r="O77" s="135">
        <v>742.81</v>
      </c>
      <c r="P77" s="137">
        <f>IFERROR( Tabla8[[#This Row],[PAGADO BS]]/Tabla8[[#This Row],[TASA DE CAMBIO]], 0)</f>
        <v>5</v>
      </c>
      <c r="Q77" s="31">
        <v>3714.0499999999997</v>
      </c>
      <c r="R77" s="60" t="s">
        <v>114</v>
      </c>
      <c r="S77" s="60"/>
      <c r="T77" s="46">
        <v>46231</v>
      </c>
    </row>
    <row r="78" spans="1:20" ht="15" customHeight="1" x14ac:dyDescent="0.25">
      <c r="A78" s="42">
        <v>75</v>
      </c>
      <c r="B78" s="46">
        <v>46233</v>
      </c>
      <c r="C78" s="20" t="s">
        <v>32</v>
      </c>
      <c r="D78" s="90" t="s">
        <v>370</v>
      </c>
      <c r="E78" s="42" t="s">
        <v>103</v>
      </c>
      <c r="F78" s="46"/>
      <c r="G78" s="61"/>
      <c r="H78" s="61"/>
      <c r="I78" s="60"/>
      <c r="J78" s="60"/>
      <c r="K78" s="22">
        <f>+'GASTOS '!$J57*0.16</f>
        <v>0</v>
      </c>
      <c r="L78" s="52"/>
      <c r="M78" s="52">
        <f>+'GASTOS '!$K57*'GASTOS '!$L57</f>
        <v>0</v>
      </c>
      <c r="N78" s="52"/>
      <c r="O78" s="135">
        <v>742.81</v>
      </c>
      <c r="P78" s="137">
        <f>IFERROR( Tabla8[[#This Row],[PAGADO BS]]/Tabla8[[#This Row],[TASA DE CAMBIO]], 0)</f>
        <v>25.000000000000004</v>
      </c>
      <c r="Q78" s="31">
        <v>18570.25</v>
      </c>
      <c r="R78" s="60" t="s">
        <v>114</v>
      </c>
      <c r="S78" s="60"/>
      <c r="T78" s="46">
        <v>46231</v>
      </c>
    </row>
    <row r="79" spans="1:20" ht="15" customHeight="1" x14ac:dyDescent="0.25">
      <c r="A79" s="42">
        <v>76</v>
      </c>
      <c r="B79" s="46">
        <v>46233</v>
      </c>
      <c r="C79" s="20" t="s">
        <v>32</v>
      </c>
      <c r="D79" s="90" t="s">
        <v>371</v>
      </c>
      <c r="E79" s="42" t="s">
        <v>103</v>
      </c>
      <c r="F79" s="46"/>
      <c r="G79" s="61"/>
      <c r="H79" s="61"/>
      <c r="I79" s="60"/>
      <c r="J79" s="60"/>
      <c r="K79" s="22" t="e">
        <f>+'GASTOS '!#REF!*0.16</f>
        <v>#REF!</v>
      </c>
      <c r="L79" s="52"/>
      <c r="M79" s="52" t="e">
        <f>+'GASTOS '!#REF!*'GASTOS '!#REF!</f>
        <v>#REF!</v>
      </c>
      <c r="N79" s="52"/>
      <c r="O79" s="135">
        <v>742.81</v>
      </c>
      <c r="P79" s="137">
        <f>IFERROR( Tabla8[[#This Row],[PAGADO BS]]/Tabla8[[#This Row],[TASA DE CAMBIO]], 0)</f>
        <v>30</v>
      </c>
      <c r="Q79" s="31">
        <v>22284.3</v>
      </c>
      <c r="R79" s="60" t="s">
        <v>114</v>
      </c>
      <c r="S79" s="60"/>
      <c r="T79" s="46">
        <v>46231</v>
      </c>
    </row>
    <row r="80" spans="1:20" x14ac:dyDescent="0.25">
      <c r="A80" s="42">
        <v>77</v>
      </c>
      <c r="B80" s="46">
        <v>46233</v>
      </c>
      <c r="C80" s="20" t="s">
        <v>32</v>
      </c>
      <c r="D80" s="90" t="s">
        <v>372</v>
      </c>
      <c r="E80" s="42" t="s">
        <v>41</v>
      </c>
      <c r="F80" s="46"/>
      <c r="G80" s="61"/>
      <c r="H80" s="61"/>
      <c r="I80" s="60"/>
      <c r="J80" s="60"/>
      <c r="K80" s="22">
        <f>+'GASTOS '!$J70*0.16</f>
        <v>0</v>
      </c>
      <c r="L80" s="52"/>
      <c r="M80" s="52">
        <f>+'GASTOS '!$K70*'GASTOS '!$L70</f>
        <v>0</v>
      </c>
      <c r="N80" s="52"/>
      <c r="O80" s="50">
        <v>742.81</v>
      </c>
      <c r="P80" s="137">
        <f>IFERROR( Tabla8[[#This Row],[PAGADO BS]]/Tabla8[[#This Row],[TASA DE CAMBIO]], 0)</f>
        <v>20</v>
      </c>
      <c r="Q80" s="31">
        <v>14856.199999999999</v>
      </c>
      <c r="R80" s="60" t="s">
        <v>114</v>
      </c>
      <c r="S80" s="60"/>
      <c r="T80" s="46">
        <v>46231</v>
      </c>
    </row>
    <row r="81" spans="1:20" x14ac:dyDescent="0.25">
      <c r="A81" s="42">
        <v>78</v>
      </c>
      <c r="B81" s="46">
        <v>46233</v>
      </c>
      <c r="C81" s="20" t="s">
        <v>319</v>
      </c>
      <c r="D81" s="90" t="s">
        <v>379</v>
      </c>
      <c r="E81" s="42" t="s">
        <v>37</v>
      </c>
      <c r="F81" s="46"/>
      <c r="G81" s="61"/>
      <c r="H81" s="61"/>
      <c r="I81" s="60"/>
      <c r="J81" s="60"/>
      <c r="K81" s="22">
        <f>+'GASTOS '!$J77*0.16</f>
        <v>0</v>
      </c>
      <c r="L81" s="52"/>
      <c r="M81" s="52">
        <f>+'GASTOS '!$K77*'GASTOS '!$L77</f>
        <v>0</v>
      </c>
      <c r="N81" s="52"/>
      <c r="O81" s="50">
        <v>745.64</v>
      </c>
      <c r="P81" s="137">
        <f>IFERROR( Tabla8[[#This Row],[PAGADO BS]]/Tabla8[[#This Row],[TASA DE CAMBIO]], 0)</f>
        <v>1552.4589882517032</v>
      </c>
      <c r="Q81" s="31">
        <v>1157575.52</v>
      </c>
      <c r="R81" s="60" t="s">
        <v>114</v>
      </c>
      <c r="S81" s="60"/>
      <c r="T81" s="46">
        <v>46233</v>
      </c>
    </row>
    <row r="82" spans="1:20" x14ac:dyDescent="0.25">
      <c r="A82" s="42">
        <v>79</v>
      </c>
      <c r="B82" s="46">
        <v>46233</v>
      </c>
      <c r="C82" s="20" t="s">
        <v>319</v>
      </c>
      <c r="D82" s="90" t="s">
        <v>380</v>
      </c>
      <c r="E82" s="42" t="s">
        <v>14</v>
      </c>
      <c r="F82" s="46"/>
      <c r="G82" s="61"/>
      <c r="H82" s="61"/>
      <c r="I82" s="60"/>
      <c r="J82" s="60"/>
      <c r="K82" s="22">
        <f>+'GASTOS '!$J78*0.16</f>
        <v>0</v>
      </c>
      <c r="L82" s="52"/>
      <c r="M82" s="52">
        <f>+'GASTOS '!$K78*'GASTOS '!$L78</f>
        <v>0</v>
      </c>
      <c r="N82" s="52"/>
      <c r="O82" s="50">
        <v>745.64</v>
      </c>
      <c r="P82" s="137">
        <f>IFERROR( Tabla8[[#This Row],[PAGADO BS]]/Tabla8[[#This Row],[TASA DE CAMBIO]], 0)</f>
        <v>20271.090620138406</v>
      </c>
      <c r="Q82" s="31">
        <v>15114936.01</v>
      </c>
      <c r="R82" s="60" t="s">
        <v>114</v>
      </c>
      <c r="S82" s="60"/>
      <c r="T82" s="46">
        <v>46233</v>
      </c>
    </row>
    <row r="83" spans="1:20" x14ac:dyDescent="0.25">
      <c r="A83" s="42">
        <v>80</v>
      </c>
      <c r="B83" s="46">
        <v>46233</v>
      </c>
      <c r="C83" s="20" t="s">
        <v>319</v>
      </c>
      <c r="D83" s="90" t="s">
        <v>381</v>
      </c>
      <c r="E83" s="42" t="s">
        <v>3</v>
      </c>
      <c r="F83" s="46"/>
      <c r="G83" s="61"/>
      <c r="H83" s="61"/>
      <c r="I83" s="60"/>
      <c r="J83" s="60"/>
      <c r="K83" s="22">
        <f>+'GASTOS '!$J79*0.16</f>
        <v>0</v>
      </c>
      <c r="L83" s="52"/>
      <c r="M83" s="52" t="e">
        <f>+'GASTOS '!$K79*'GASTOS '!$L79</f>
        <v>#REF!</v>
      </c>
      <c r="N83" s="52"/>
      <c r="O83" s="50">
        <v>745.64</v>
      </c>
      <c r="P83" s="137">
        <f>IFERROR( Tabla8[[#This Row],[PAGADO BS]]/Tabla8[[#This Row],[TASA DE CAMBIO]], 0)</f>
        <v>507.81073976717988</v>
      </c>
      <c r="Q83" s="31">
        <v>378644</v>
      </c>
      <c r="R83" s="60" t="s">
        <v>114</v>
      </c>
      <c r="S83" s="60"/>
      <c r="T83" s="46">
        <v>46233</v>
      </c>
    </row>
    <row r="84" spans="1:20" x14ac:dyDescent="0.25">
      <c r="A84" s="42">
        <v>81</v>
      </c>
      <c r="B84" s="46">
        <v>46233</v>
      </c>
      <c r="C84" s="20" t="s">
        <v>319</v>
      </c>
      <c r="D84" s="90" t="s">
        <v>382</v>
      </c>
      <c r="E84" s="42" t="s">
        <v>99</v>
      </c>
      <c r="F84" s="46"/>
      <c r="G84" s="61"/>
      <c r="H84" s="61"/>
      <c r="I84" s="60"/>
      <c r="J84" s="60"/>
      <c r="K84" s="22">
        <f>+'GASTOS '!$J80*0.16</f>
        <v>0</v>
      </c>
      <c r="L84" s="52"/>
      <c r="M84" s="52">
        <f>+'GASTOS '!$K80*'GASTOS '!$L80</f>
        <v>0</v>
      </c>
      <c r="N84" s="52"/>
      <c r="O84" s="50">
        <v>745.64</v>
      </c>
      <c r="P84" s="137">
        <f>IFERROR( Tabla8[[#This Row],[PAGADO BS]]/Tabla8[[#This Row],[TASA DE CAMBIO]], 0)</f>
        <v>679.8061531033743</v>
      </c>
      <c r="Q84" s="31">
        <v>506890.66</v>
      </c>
      <c r="R84" s="60" t="s">
        <v>114</v>
      </c>
      <c r="S84" s="60"/>
      <c r="T84" s="46">
        <v>46233</v>
      </c>
    </row>
    <row r="85" spans="1:20" x14ac:dyDescent="0.25">
      <c r="A85" s="42">
        <v>82</v>
      </c>
      <c r="B85" s="46">
        <v>46233</v>
      </c>
      <c r="C85" s="20" t="s">
        <v>326</v>
      </c>
      <c r="D85" s="90" t="s">
        <v>383</v>
      </c>
      <c r="E85" s="42" t="s">
        <v>27</v>
      </c>
      <c r="F85" s="46"/>
      <c r="G85" s="61"/>
      <c r="H85" s="61"/>
      <c r="I85" s="60"/>
      <c r="J85" s="60"/>
      <c r="K85" s="22">
        <f>+'GASTOS '!$J81*0.16</f>
        <v>0</v>
      </c>
      <c r="L85" s="52"/>
      <c r="M85" s="52">
        <f>+'GASTOS '!$K81*'GASTOS '!$L81</f>
        <v>0</v>
      </c>
      <c r="N85" s="52"/>
      <c r="O85" s="50">
        <v>745.64</v>
      </c>
      <c r="P85" s="137">
        <f>IFERROR( Tabla8[[#This Row],[PAGADO BS]]/Tabla8[[#This Row],[TASA DE CAMBIO]], 0)</f>
        <v>77.511426425620954</v>
      </c>
      <c r="Q85" s="31">
        <v>57795.62</v>
      </c>
      <c r="R85" s="60" t="s">
        <v>114</v>
      </c>
      <c r="S85" s="60"/>
      <c r="T85" s="46">
        <v>46233</v>
      </c>
    </row>
    <row r="86" spans="1:20" x14ac:dyDescent="0.25">
      <c r="A86" s="42">
        <v>83</v>
      </c>
      <c r="B86" s="46">
        <v>46233</v>
      </c>
      <c r="C86" s="20" t="s">
        <v>326</v>
      </c>
      <c r="D86" s="90" t="s">
        <v>384</v>
      </c>
      <c r="E86" s="42" t="s">
        <v>27</v>
      </c>
      <c r="F86" s="46"/>
      <c r="G86" s="61"/>
      <c r="H86" s="61"/>
      <c r="I86" s="60"/>
      <c r="J86" s="60"/>
      <c r="K86" s="22">
        <f>+'GASTOS '!$J82*0.16</f>
        <v>0</v>
      </c>
      <c r="L86" s="52"/>
      <c r="M86" s="52">
        <f>+'GASTOS '!$K82*'GASTOS '!$L82</f>
        <v>0</v>
      </c>
      <c r="N86" s="52"/>
      <c r="O86" s="50">
        <v>745.64</v>
      </c>
      <c r="P86" s="137">
        <f>IFERROR( Tabla8[[#This Row],[PAGADO BS]]/Tabla8[[#This Row],[TASA DE CAMBIO]], 0)</f>
        <v>60.905262593208519</v>
      </c>
      <c r="Q86" s="31">
        <v>45413.4</v>
      </c>
      <c r="R86" s="60" t="s">
        <v>114</v>
      </c>
      <c r="S86" s="60"/>
      <c r="T86" s="46">
        <v>46233</v>
      </c>
    </row>
    <row r="87" spans="1:20" x14ac:dyDescent="0.25">
      <c r="A87" s="42">
        <v>84</v>
      </c>
      <c r="B87" s="46">
        <v>46233</v>
      </c>
      <c r="C87" s="20" t="s">
        <v>32</v>
      </c>
      <c r="D87" s="90" t="s">
        <v>385</v>
      </c>
      <c r="E87" s="42" t="s">
        <v>103</v>
      </c>
      <c r="F87" s="46"/>
      <c r="G87" s="61"/>
      <c r="H87" s="61"/>
      <c r="I87" s="60"/>
      <c r="J87" s="60"/>
      <c r="K87" s="22">
        <f>+'GASTOS '!$J83*0.16</f>
        <v>0</v>
      </c>
      <c r="L87" s="52"/>
      <c r="M87" s="52">
        <f>+'GASTOS '!$K83*'GASTOS '!$L83</f>
        <v>0</v>
      </c>
      <c r="N87" s="52"/>
      <c r="O87" s="50">
        <v>745.64</v>
      </c>
      <c r="P87" s="137">
        <f>IFERROR( Tabla8[[#This Row],[PAGADO BS]]/Tabla8[[#This Row],[TASA DE CAMBIO]], 0)</f>
        <v>8</v>
      </c>
      <c r="Q87" s="31">
        <v>5965.12</v>
      </c>
      <c r="R87" s="60" t="s">
        <v>114</v>
      </c>
      <c r="S87" s="60"/>
      <c r="T87" s="46">
        <v>46233</v>
      </c>
    </row>
    <row r="88" spans="1:20" x14ac:dyDescent="0.25">
      <c r="A88" s="42">
        <v>85</v>
      </c>
      <c r="B88" s="46">
        <v>46233</v>
      </c>
      <c r="C88" s="20" t="s">
        <v>32</v>
      </c>
      <c r="D88" s="90" t="s">
        <v>386</v>
      </c>
      <c r="E88" s="42" t="s">
        <v>103</v>
      </c>
      <c r="F88" s="46"/>
      <c r="G88" s="61"/>
      <c r="H88" s="61"/>
      <c r="I88" s="60"/>
      <c r="J88" s="60"/>
      <c r="K88" s="22">
        <f>+'GASTOS '!$J84*0.16</f>
        <v>0</v>
      </c>
      <c r="L88" s="52"/>
      <c r="M88" s="52">
        <f>+'GASTOS '!$K84*'GASTOS '!$L84</f>
        <v>0</v>
      </c>
      <c r="N88" s="52"/>
      <c r="O88" s="50">
        <v>745.64</v>
      </c>
      <c r="P88" s="137">
        <f>IFERROR( Tabla8[[#This Row],[PAGADO BS]]/Tabla8[[#This Row],[TASA DE CAMBIO]], 0)</f>
        <v>25</v>
      </c>
      <c r="Q88" s="31">
        <v>18641</v>
      </c>
      <c r="R88" s="60" t="s">
        <v>114</v>
      </c>
      <c r="S88" s="60"/>
      <c r="T88" s="46">
        <v>46233</v>
      </c>
    </row>
    <row r="89" spans="1:20" x14ac:dyDescent="0.25">
      <c r="A89" s="42">
        <v>86</v>
      </c>
      <c r="B89" s="46">
        <v>46233</v>
      </c>
      <c r="C89" s="20" t="s">
        <v>336</v>
      </c>
      <c r="D89" s="90" t="s">
        <v>387</v>
      </c>
      <c r="E89" s="42" t="s">
        <v>26</v>
      </c>
      <c r="F89" s="46"/>
      <c r="G89" s="61"/>
      <c r="H89" s="61"/>
      <c r="I89" s="60"/>
      <c r="J89" s="60"/>
      <c r="K89" s="22">
        <f>+'GASTOS '!$J85*0.16</f>
        <v>0</v>
      </c>
      <c r="L89" s="52"/>
      <c r="M89" s="52">
        <f>+'GASTOS '!$K85*'GASTOS '!$L85</f>
        <v>0</v>
      </c>
      <c r="N89" s="52"/>
      <c r="O89" s="50">
        <v>745.64</v>
      </c>
      <c r="P89" s="137">
        <f>IFERROR( Tabla8[[#This Row],[PAGADO BS]]/Tabla8[[#This Row],[TASA DE CAMBIO]], 0)</f>
        <v>195.95381149079986</v>
      </c>
      <c r="Q89" s="31">
        <v>146111</v>
      </c>
      <c r="R89" s="60" t="s">
        <v>114</v>
      </c>
      <c r="S89" s="60"/>
      <c r="T89" s="46">
        <v>46233</v>
      </c>
    </row>
    <row r="90" spans="1:20" x14ac:dyDescent="0.25">
      <c r="A90" s="42">
        <v>87</v>
      </c>
      <c r="B90" s="46">
        <v>46233</v>
      </c>
      <c r="C90" s="20" t="s">
        <v>336</v>
      </c>
      <c r="D90" s="90" t="s">
        <v>229</v>
      </c>
      <c r="E90" s="42" t="s">
        <v>229</v>
      </c>
      <c r="F90" s="46"/>
      <c r="G90" s="61"/>
      <c r="H90" s="61"/>
      <c r="I90" s="60"/>
      <c r="J90" s="60"/>
      <c r="K90" s="22">
        <f>+'GASTOS '!$J86*0.16</f>
        <v>0</v>
      </c>
      <c r="L90" s="52"/>
      <c r="M90" s="52">
        <f>+'GASTOS '!$K86*'GASTOS '!$L86</f>
        <v>0</v>
      </c>
      <c r="N90" s="52"/>
      <c r="O90" s="50">
        <v>745.64</v>
      </c>
      <c r="P90" s="137">
        <f>IFERROR( Tabla8[[#This Row],[PAGADO BS]]/Tabla8[[#This Row],[TASA DE CAMBIO]], 0)</f>
        <v>3136.7155556976559</v>
      </c>
      <c r="Q90" s="31">
        <v>2338860.5869503999</v>
      </c>
      <c r="R90" s="60" t="s">
        <v>114</v>
      </c>
      <c r="S90" s="60"/>
      <c r="T90" s="46">
        <v>46233</v>
      </c>
    </row>
    <row r="91" spans="1:20" x14ac:dyDescent="0.25">
      <c r="A91" s="42">
        <v>88</v>
      </c>
      <c r="B91" s="46">
        <v>46234</v>
      </c>
      <c r="C91" s="20" t="s">
        <v>336</v>
      </c>
      <c r="D91" s="90" t="s">
        <v>388</v>
      </c>
      <c r="E91" s="42" t="s">
        <v>197</v>
      </c>
      <c r="F91" s="46"/>
      <c r="G91" s="61"/>
      <c r="H91" s="61"/>
      <c r="I91" s="60"/>
      <c r="J91" s="60"/>
      <c r="K91" s="22">
        <f>+'GASTOS '!$J87*0.16</f>
        <v>0</v>
      </c>
      <c r="L91" s="52"/>
      <c r="M91" s="52">
        <f>+'GASTOS '!$K87*'GASTOS '!$L87</f>
        <v>0</v>
      </c>
      <c r="N91" s="52"/>
      <c r="O91" s="50">
        <v>746.63</v>
      </c>
      <c r="P91" s="137">
        <f>IFERROR( Tabla8[[#This Row],[PAGADO BS]]/Tabla8[[#This Row],[TASA DE CAMBIO]], 0)</f>
        <v>171.66785422498427</v>
      </c>
      <c r="Q91" s="31">
        <v>128172.37</v>
      </c>
      <c r="R91" s="60" t="s">
        <v>114</v>
      </c>
      <c r="S91" s="60"/>
      <c r="T91" s="46">
        <v>46234</v>
      </c>
    </row>
    <row r="92" spans="1:20" x14ac:dyDescent="0.25">
      <c r="A92" s="42">
        <v>89</v>
      </c>
      <c r="B92" s="46">
        <v>46234</v>
      </c>
      <c r="C92" s="20" t="s">
        <v>113</v>
      </c>
      <c r="D92" s="90" t="s">
        <v>389</v>
      </c>
      <c r="E92" s="42" t="s">
        <v>113</v>
      </c>
      <c r="F92" s="46"/>
      <c r="G92" s="61"/>
      <c r="H92" s="61"/>
      <c r="I92" s="60"/>
      <c r="J92" s="60"/>
      <c r="K92" s="22">
        <f>+'GASTOS '!$J88*0.16</f>
        <v>0</v>
      </c>
      <c r="L92" s="52"/>
      <c r="M92" s="52">
        <f>+'GASTOS '!$K88*'GASTOS '!$L88</f>
        <v>0</v>
      </c>
      <c r="N92" s="52"/>
      <c r="O92" s="50">
        <v>746.63</v>
      </c>
      <c r="P92" s="137">
        <f>IFERROR( Tabla8[[#This Row],[PAGADO BS]]/Tabla8[[#This Row],[TASA DE CAMBIO]], 0)</f>
        <v>0.14286862301273723</v>
      </c>
      <c r="Q92" s="31">
        <v>106.67</v>
      </c>
      <c r="R92" s="60" t="s">
        <v>114</v>
      </c>
      <c r="S92" s="60"/>
      <c r="T92" s="46">
        <v>46234</v>
      </c>
    </row>
    <row r="93" spans="1:20" x14ac:dyDescent="0.25">
      <c r="A93" s="42">
        <v>90</v>
      </c>
      <c r="B93" s="46"/>
      <c r="D93" s="90"/>
      <c r="E93" s="42"/>
      <c r="F93" s="46"/>
      <c r="G93" s="61"/>
      <c r="H93" s="61"/>
      <c r="I93" s="60"/>
      <c r="J93" s="60"/>
      <c r="K93" s="22">
        <f>+'GASTOS '!$J89*0.16</f>
        <v>0</v>
      </c>
      <c r="L93" s="52"/>
      <c r="M93" s="52">
        <f>+'GASTOS '!$K89*'GASTOS '!$L89</f>
        <v>0</v>
      </c>
      <c r="N93" s="52"/>
      <c r="O93" s="50"/>
      <c r="P93" s="137">
        <f>IFERROR( Tabla8[[#This Row],[PAGADO BS]]/Tabla8[[#This Row],[TASA DE CAMBIO]], 0)</f>
        <v>0</v>
      </c>
      <c r="Q93" s="31"/>
      <c r="R93" s="60"/>
      <c r="S93" s="60"/>
      <c r="T93" s="46"/>
    </row>
    <row r="94" spans="1:20" x14ac:dyDescent="0.25">
      <c r="B94" s="46"/>
      <c r="D94" s="90"/>
      <c r="E94" s="42"/>
      <c r="F94" s="46"/>
      <c r="G94" s="61"/>
      <c r="H94" s="61"/>
      <c r="I94" s="60"/>
      <c r="J94" s="60"/>
      <c r="K94" s="22">
        <f>+'GASTOS '!$J90*0.16</f>
        <v>0</v>
      </c>
      <c r="L94" s="52"/>
      <c r="M94" s="52">
        <f>+'GASTOS '!$K90*'GASTOS '!$L90</f>
        <v>0</v>
      </c>
      <c r="N94" s="52"/>
      <c r="O94" s="50"/>
      <c r="P94" s="137" t="s">
        <v>157</v>
      </c>
      <c r="Q94" s="31"/>
      <c r="R94" s="60"/>
      <c r="S94" s="60"/>
      <c r="T94" s="46"/>
    </row>
    <row r="95" spans="1:20" x14ac:dyDescent="0.25">
      <c r="B95" s="46"/>
      <c r="E95" s="42"/>
      <c r="G95" s="265"/>
      <c r="H95" s="265"/>
      <c r="I95" s="47"/>
      <c r="J95" s="47"/>
      <c r="K95" s="22">
        <f>+'GASTOS '!$J95*0.16</f>
        <v>0</v>
      </c>
      <c r="L95" s="52"/>
      <c r="M95" s="22">
        <f>+'GASTOS '!$K95*'GASTOS '!$L95</f>
        <v>0</v>
      </c>
      <c r="N95" s="22"/>
      <c r="O95" s="50"/>
      <c r="P95" s="137">
        <f>IFERROR( Tabla8[[#This Row],[PAGADO BS]]/Tabla8[[#This Row],[TASA DE CAMBIO]], 0)</f>
        <v>0</v>
      </c>
      <c r="Q95" s="47"/>
      <c r="R95" s="267"/>
      <c r="S95" s="267"/>
      <c r="T95" s="46"/>
    </row>
    <row r="96" spans="1:20" x14ac:dyDescent="0.25">
      <c r="B96" s="46"/>
      <c r="E96" s="42"/>
      <c r="G96" s="265"/>
      <c r="H96" s="265"/>
      <c r="I96" s="47"/>
      <c r="J96" s="47"/>
      <c r="K96" s="22">
        <f>+'GASTOS '!$J96*0.16</f>
        <v>0</v>
      </c>
      <c r="L96" s="52"/>
      <c r="M96" s="22">
        <f>+'GASTOS '!$K96*'GASTOS '!$L96</f>
        <v>0</v>
      </c>
      <c r="N96" s="22"/>
      <c r="O96" s="50"/>
      <c r="P96" s="137">
        <f>IFERROR( Tabla8[[#This Row],[PAGADO BS]]/Tabla8[[#This Row],[TASA DE CAMBIO]], 0)</f>
        <v>0</v>
      </c>
      <c r="Q96" s="47"/>
      <c r="R96" s="267"/>
      <c r="S96" s="267"/>
      <c r="T96" s="46"/>
    </row>
    <row r="97" spans="2:20" x14ac:dyDescent="0.25">
      <c r="B97" s="46"/>
      <c r="E97" s="42"/>
      <c r="G97" s="265"/>
      <c r="H97" s="265"/>
      <c r="I97" s="47"/>
      <c r="J97" s="47"/>
      <c r="K97" s="22">
        <f>+'GASTOS '!$J97*0.16</f>
        <v>0</v>
      </c>
      <c r="L97" s="52"/>
      <c r="M97" s="22">
        <f>+'GASTOS '!$K97*'GASTOS '!$L97</f>
        <v>0</v>
      </c>
      <c r="N97" s="22"/>
      <c r="O97" s="50"/>
      <c r="P97" s="137">
        <f>IFERROR( Tabla8[[#This Row],[PAGADO BS]]/Tabla8[[#This Row],[TASA DE CAMBIO]], 0)</f>
        <v>0</v>
      </c>
      <c r="Q97" s="47"/>
      <c r="R97" s="267"/>
      <c r="S97" s="267"/>
      <c r="T97" s="46"/>
    </row>
    <row r="98" spans="2:20" x14ac:dyDescent="0.25">
      <c r="B98" s="46"/>
      <c r="E98" s="42"/>
      <c r="G98" s="265"/>
      <c r="H98" s="265"/>
      <c r="I98" s="47"/>
      <c r="J98" s="47"/>
      <c r="K98" s="22">
        <f>+'GASTOS '!$J98*0.16</f>
        <v>0</v>
      </c>
      <c r="L98" s="52"/>
      <c r="M98" s="22">
        <f>+'GASTOS '!$K98*'GASTOS '!$L98</f>
        <v>0</v>
      </c>
      <c r="N98" s="22"/>
      <c r="O98" s="50"/>
      <c r="P98" s="137">
        <f>IFERROR( Tabla8[[#This Row],[PAGADO BS]]/Tabla8[[#This Row],[TASA DE CAMBIO]], 0)</f>
        <v>0</v>
      </c>
      <c r="Q98" s="47"/>
      <c r="R98" s="267"/>
      <c r="S98" s="267"/>
      <c r="T98" s="46"/>
    </row>
    <row r="99" spans="2:20" x14ac:dyDescent="0.25">
      <c r="B99" s="46"/>
      <c r="E99" s="42"/>
      <c r="G99" s="265"/>
      <c r="H99" s="265"/>
      <c r="I99" s="47"/>
      <c r="J99" s="47"/>
      <c r="K99" s="22">
        <f>+'GASTOS '!$J99*0.16</f>
        <v>0</v>
      </c>
      <c r="L99" s="52"/>
      <c r="M99" s="22">
        <f>+'GASTOS '!$K99*'GASTOS '!$L99</f>
        <v>0</v>
      </c>
      <c r="N99" s="22"/>
      <c r="O99" s="50"/>
      <c r="P99" s="137">
        <f>IFERROR( Tabla8[[#This Row],[PAGADO BS]]/Tabla8[[#This Row],[TASA DE CAMBIO]], 0)</f>
        <v>0</v>
      </c>
      <c r="Q99" s="47"/>
      <c r="R99" s="267"/>
      <c r="S99" s="267"/>
      <c r="T99" s="46"/>
    </row>
    <row r="100" spans="2:20" x14ac:dyDescent="0.25">
      <c r="B100" s="46"/>
      <c r="E100" s="42"/>
      <c r="G100" s="265"/>
      <c r="H100" s="265"/>
      <c r="I100" s="47"/>
      <c r="J100" s="47"/>
      <c r="K100" s="22">
        <f>+'GASTOS '!$J100*0.16</f>
        <v>0</v>
      </c>
      <c r="L100" s="52"/>
      <c r="M100" s="22">
        <f>+'GASTOS '!$K100*'GASTOS '!$L100</f>
        <v>0</v>
      </c>
      <c r="N100" s="22"/>
      <c r="O100" s="50"/>
      <c r="P100" s="137">
        <f>IFERROR( Tabla8[[#This Row],[PAGADO BS]]/Tabla8[[#This Row],[TASA DE CAMBIO]], 0)</f>
        <v>0</v>
      </c>
      <c r="Q100" s="47"/>
      <c r="R100" s="267"/>
      <c r="S100" s="267"/>
      <c r="T100" s="46"/>
    </row>
    <row r="101" spans="2:20" x14ac:dyDescent="0.25">
      <c r="B101" s="46"/>
      <c r="E101" s="42"/>
      <c r="G101" s="265"/>
      <c r="H101" s="265"/>
      <c r="I101" s="47"/>
      <c r="J101" s="47"/>
      <c r="K101" s="22">
        <f>+'GASTOS '!$J101*0.16</f>
        <v>0</v>
      </c>
      <c r="L101" s="52"/>
      <c r="M101" s="22">
        <f>+'GASTOS '!$K101*'GASTOS '!$L101</f>
        <v>0</v>
      </c>
      <c r="N101" s="22"/>
      <c r="O101" s="50"/>
      <c r="P101" s="137">
        <f>IFERROR( Tabla8[[#This Row],[PAGADO BS]]/Tabla8[[#This Row],[TASA DE CAMBIO]], 0)</f>
        <v>0</v>
      </c>
      <c r="Q101" s="47"/>
      <c r="R101" s="267"/>
      <c r="S101" s="267"/>
      <c r="T101" s="46"/>
    </row>
    <row r="102" spans="2:20" x14ac:dyDescent="0.25">
      <c r="B102" s="46"/>
      <c r="E102" s="42"/>
      <c r="G102" s="265"/>
      <c r="H102" s="265"/>
      <c r="I102" s="47"/>
      <c r="J102" s="47"/>
      <c r="K102" s="22">
        <f>+'GASTOS '!$J102*0.16</f>
        <v>0</v>
      </c>
      <c r="L102" s="52"/>
      <c r="M102" s="22">
        <f>+'GASTOS '!$K102*'GASTOS '!$L102</f>
        <v>0</v>
      </c>
      <c r="N102" s="22"/>
      <c r="O102" s="50"/>
      <c r="P102" s="137">
        <f>IFERROR( Tabla8[[#This Row],[PAGADO BS]]/Tabla8[[#This Row],[TASA DE CAMBIO]], 0)</f>
        <v>0</v>
      </c>
      <c r="Q102" s="47"/>
      <c r="R102" s="267"/>
      <c r="S102" s="267"/>
      <c r="T102" s="46"/>
    </row>
    <row r="103" spans="2:20" x14ac:dyDescent="0.25">
      <c r="B103" s="46"/>
      <c r="E103" s="42"/>
      <c r="G103" s="265"/>
      <c r="H103" s="265"/>
      <c r="I103" s="47"/>
      <c r="J103" s="47"/>
      <c r="K103" s="22">
        <f>+'GASTOS '!$J103*0.16</f>
        <v>0</v>
      </c>
      <c r="L103" s="52"/>
      <c r="M103" s="22">
        <f>+'GASTOS '!$K103*'GASTOS '!$L103</f>
        <v>0</v>
      </c>
      <c r="N103" s="22"/>
      <c r="O103" s="50"/>
      <c r="P103" s="137">
        <f>IFERROR( Tabla8[[#This Row],[PAGADO BS]]/Tabla8[[#This Row],[TASA DE CAMBIO]], 0)</f>
        <v>0</v>
      </c>
      <c r="Q103" s="47"/>
      <c r="R103" s="267"/>
      <c r="S103" s="267"/>
      <c r="T103" s="46"/>
    </row>
    <row r="104" spans="2:20" x14ac:dyDescent="0.25">
      <c r="B104" s="46"/>
      <c r="E104" s="42"/>
      <c r="G104" s="265"/>
      <c r="H104" s="265"/>
      <c r="I104" s="47"/>
      <c r="J104" s="47"/>
      <c r="K104" s="22">
        <f>+'GASTOS '!$J104*0.16</f>
        <v>0</v>
      </c>
      <c r="L104" s="52"/>
      <c r="M104" s="22">
        <f>+'GASTOS '!$K104*'GASTOS '!$L104</f>
        <v>0</v>
      </c>
      <c r="N104" s="22"/>
      <c r="O104" s="50"/>
      <c r="P104" s="137">
        <f>IFERROR( Tabla8[[#This Row],[PAGADO BS]]/Tabla8[[#This Row],[TASA DE CAMBIO]], 0)</f>
        <v>0</v>
      </c>
      <c r="Q104" s="47"/>
      <c r="R104" s="267"/>
      <c r="S104" s="267"/>
      <c r="T104" s="46"/>
    </row>
    <row r="105" spans="2:20" x14ac:dyDescent="0.25">
      <c r="B105" s="46"/>
      <c r="E105" s="42"/>
      <c r="G105" s="265"/>
      <c r="H105" s="265"/>
      <c r="I105" s="47"/>
      <c r="J105" s="47"/>
      <c r="K105" s="22">
        <f>+'GASTOS '!$J105*0.16</f>
        <v>0</v>
      </c>
      <c r="L105" s="52"/>
      <c r="M105" s="22">
        <f>+'GASTOS '!$K105*'GASTOS '!$L105</f>
        <v>0</v>
      </c>
      <c r="N105" s="22"/>
      <c r="O105" s="50"/>
      <c r="P105" s="137">
        <f>IFERROR( Tabla8[[#This Row],[PAGADO BS]]/Tabla8[[#This Row],[TASA DE CAMBIO]], 0)</f>
        <v>0</v>
      </c>
      <c r="Q105" s="47"/>
      <c r="R105" s="267"/>
      <c r="S105" s="267"/>
      <c r="T105" s="46"/>
    </row>
    <row r="106" spans="2:20" x14ac:dyDescent="0.25">
      <c r="B106" s="46"/>
      <c r="E106" s="42"/>
      <c r="G106" s="265"/>
      <c r="H106" s="265"/>
      <c r="I106" s="47"/>
      <c r="J106" s="47"/>
      <c r="K106" s="22">
        <f>+'GASTOS '!$J106*0.16</f>
        <v>0</v>
      </c>
      <c r="L106" s="52"/>
      <c r="M106" s="22">
        <f>+'GASTOS '!$K106*'GASTOS '!$L106</f>
        <v>0</v>
      </c>
      <c r="N106" s="22"/>
      <c r="O106" s="50"/>
      <c r="P106" s="137">
        <f>IFERROR( Tabla8[[#This Row],[PAGADO BS]]/Tabla8[[#This Row],[TASA DE CAMBIO]], 0)</f>
        <v>0</v>
      </c>
      <c r="Q106" s="47"/>
      <c r="R106" s="267"/>
      <c r="S106" s="267"/>
      <c r="T106" s="46"/>
    </row>
    <row r="107" spans="2:20" x14ac:dyDescent="0.25">
      <c r="B107" s="46"/>
      <c r="E107" s="42"/>
      <c r="G107" s="265"/>
      <c r="H107" s="265"/>
      <c r="I107" s="47"/>
      <c r="J107" s="47"/>
      <c r="K107" s="22">
        <f>+'GASTOS '!$J107*0.16</f>
        <v>0</v>
      </c>
      <c r="L107" s="52"/>
      <c r="M107" s="22">
        <f>+'GASTOS '!$K107*'GASTOS '!$L107</f>
        <v>0</v>
      </c>
      <c r="N107" s="22"/>
      <c r="O107" s="50"/>
      <c r="P107" s="266">
        <f>IFERROR( Tabla8[[#This Row],[PAGADO BS]]/Tabla8[[#This Row],[TASA DE CAMBIO]], 0)</f>
        <v>0</v>
      </c>
      <c r="Q107" s="47"/>
      <c r="R107" s="267"/>
      <c r="S107" s="267"/>
      <c r="T107" s="46"/>
    </row>
    <row r="108" spans="2:20" x14ac:dyDescent="0.25">
      <c r="B108" s="46"/>
      <c r="E108" s="42"/>
      <c r="G108" s="265"/>
      <c r="H108" s="265"/>
      <c r="I108" s="47"/>
      <c r="J108" s="47"/>
      <c r="K108" s="22">
        <f>+'GASTOS '!$J108*0.16</f>
        <v>0</v>
      </c>
      <c r="L108" s="52"/>
      <c r="M108" s="22">
        <f>+'GASTOS '!$K108*'GASTOS '!$L108</f>
        <v>0</v>
      </c>
      <c r="N108" s="22"/>
      <c r="O108" s="50"/>
      <c r="P108" s="266">
        <f>IFERROR( Tabla8[[#This Row],[PAGADO BS]]/Tabla8[[#This Row],[TASA DE CAMBIO]], 0)</f>
        <v>0</v>
      </c>
      <c r="Q108" s="47"/>
      <c r="R108" s="267"/>
      <c r="S108" s="267"/>
      <c r="T108" s="46"/>
    </row>
    <row r="109" spans="2:20" ht="12.6" thickBot="1" x14ac:dyDescent="0.3">
      <c r="B109" s="46"/>
      <c r="E109" s="42"/>
      <c r="G109" s="63"/>
      <c r="I109" s="31"/>
      <c r="J109" s="64"/>
      <c r="K109" s="22"/>
      <c r="L109" s="52"/>
      <c r="M109" s="22"/>
      <c r="N109" s="22"/>
      <c r="O109" s="50"/>
      <c r="P109" s="31"/>
      <c r="Q109" s="31"/>
      <c r="R109" s="60"/>
      <c r="S109" s="60"/>
    </row>
    <row r="110" spans="2:20" ht="12.6" thickBot="1" x14ac:dyDescent="0.3">
      <c r="B110" s="46"/>
      <c r="E110" s="42"/>
      <c r="G110" s="63"/>
      <c r="I110" s="31"/>
      <c r="J110" s="64"/>
      <c r="K110" s="22"/>
      <c r="L110" s="52"/>
      <c r="M110" s="22"/>
      <c r="N110" s="22"/>
      <c r="O110" s="50"/>
      <c r="P110" s="268">
        <f>SUM(P4:P107)</f>
        <v>81702.979958044554</v>
      </c>
      <c r="Q110" s="269">
        <f>SUM(Q4:Q107)</f>
        <v>58295678.246950395</v>
      </c>
      <c r="R110" s="60"/>
      <c r="S110" s="60"/>
    </row>
    <row r="111" spans="2:20" x14ac:dyDescent="0.25">
      <c r="B111" s="46"/>
      <c r="E111" s="42"/>
      <c r="G111" s="63"/>
      <c r="H111" s="62"/>
      <c r="I111" s="31"/>
      <c r="J111" s="64"/>
      <c r="K111" s="22"/>
      <c r="L111" s="52"/>
      <c r="M111" s="22"/>
      <c r="N111" s="22"/>
      <c r="O111" s="50"/>
      <c r="P111" s="31"/>
      <c r="Q111" s="31"/>
      <c r="R111" s="60"/>
      <c r="S111" s="60"/>
    </row>
    <row r="112" spans="2:20" x14ac:dyDescent="0.25">
      <c r="B112" s="46"/>
      <c r="E112" s="42"/>
      <c r="G112" s="63"/>
      <c r="I112" s="31"/>
      <c r="J112" s="64"/>
      <c r="K112" s="22"/>
      <c r="L112" s="52"/>
      <c r="M112" s="22"/>
      <c r="N112" s="22"/>
      <c r="O112" s="50"/>
      <c r="P112" s="31"/>
      <c r="Q112" s="31"/>
      <c r="R112" s="60"/>
      <c r="S112" s="60"/>
    </row>
    <row r="113" spans="2:19" x14ac:dyDescent="0.25">
      <c r="B113" s="46"/>
      <c r="E113" s="42"/>
      <c r="G113" s="63"/>
      <c r="I113" s="31"/>
      <c r="J113" s="64"/>
      <c r="K113" s="22"/>
      <c r="L113" s="52"/>
      <c r="M113" s="22"/>
      <c r="N113" s="22"/>
      <c r="O113" s="50"/>
      <c r="P113" s="31"/>
      <c r="Q113" s="31"/>
      <c r="R113" s="60"/>
      <c r="S113" s="60"/>
    </row>
    <row r="114" spans="2:19" x14ac:dyDescent="0.25">
      <c r="B114" s="46"/>
      <c r="E114" s="42"/>
      <c r="G114" s="61"/>
      <c r="I114" s="31"/>
      <c r="J114" s="59"/>
      <c r="K114" s="22"/>
      <c r="L114" s="52"/>
      <c r="M114" s="22"/>
      <c r="N114" s="22"/>
      <c r="O114" s="50"/>
      <c r="P114" s="31"/>
      <c r="Q114" s="31"/>
      <c r="R114" s="60"/>
      <c r="S114" s="60"/>
    </row>
    <row r="115" spans="2:19" x14ac:dyDescent="0.25">
      <c r="B115" s="46"/>
      <c r="E115" s="42"/>
      <c r="G115" s="61"/>
      <c r="I115" s="31"/>
      <c r="J115" s="59"/>
      <c r="K115" s="22"/>
      <c r="L115" s="52"/>
      <c r="M115" s="22"/>
      <c r="N115" s="22"/>
      <c r="O115" s="50"/>
      <c r="P115" s="31"/>
      <c r="Q115" s="31"/>
      <c r="R115" s="60"/>
      <c r="S115" s="60"/>
    </row>
    <row r="116" spans="2:19" x14ac:dyDescent="0.25">
      <c r="B116" s="46"/>
      <c r="E116" s="42"/>
      <c r="G116" s="61"/>
      <c r="I116" s="31"/>
      <c r="J116" s="31"/>
      <c r="K116" s="22"/>
      <c r="L116" s="52"/>
      <c r="M116" s="22"/>
      <c r="N116" s="22"/>
      <c r="O116" s="50"/>
      <c r="P116" s="31"/>
      <c r="Q116" s="31"/>
      <c r="R116" s="60"/>
      <c r="S116" s="60"/>
    </row>
    <row r="117" spans="2:19" x14ac:dyDescent="0.25">
      <c r="B117" s="46"/>
      <c r="E117" s="42"/>
      <c r="G117" s="63"/>
      <c r="I117" s="31"/>
      <c r="J117" s="25"/>
      <c r="K117" s="22"/>
      <c r="L117" s="52"/>
      <c r="M117" s="22"/>
      <c r="N117" s="22"/>
      <c r="O117" s="50"/>
      <c r="P117" s="31"/>
      <c r="Q117" s="31"/>
      <c r="R117" s="60"/>
      <c r="S117" s="60"/>
    </row>
    <row r="118" spans="2:19" x14ac:dyDescent="0.25">
      <c r="B118" s="46"/>
      <c r="E118" s="42"/>
      <c r="G118" s="63"/>
      <c r="I118" s="25"/>
      <c r="J118" s="25"/>
      <c r="K118" s="22"/>
      <c r="L118" s="52"/>
      <c r="M118" s="22"/>
      <c r="N118" s="22"/>
      <c r="O118" s="50"/>
      <c r="P118" s="31"/>
      <c r="Q118" s="31"/>
      <c r="R118" s="60"/>
      <c r="S118" s="60"/>
    </row>
    <row r="119" spans="2:19" x14ac:dyDescent="0.25">
      <c r="B119" s="46"/>
      <c r="E119" s="42"/>
      <c r="G119" s="63"/>
      <c r="I119" s="25"/>
      <c r="J119" s="64"/>
      <c r="K119" s="22"/>
      <c r="L119" s="52"/>
      <c r="M119" s="22"/>
      <c r="N119" s="22"/>
      <c r="O119" s="50"/>
      <c r="P119" s="31"/>
      <c r="Q119" s="31"/>
      <c r="R119" s="60"/>
      <c r="S119" s="60"/>
    </row>
    <row r="120" spans="2:19" x14ac:dyDescent="0.25">
      <c r="B120" s="46"/>
      <c r="E120" s="42"/>
      <c r="G120" s="63"/>
      <c r="I120" s="25"/>
      <c r="J120" s="64"/>
      <c r="K120" s="22"/>
      <c r="L120" s="52"/>
      <c r="M120" s="22"/>
      <c r="N120" s="22"/>
      <c r="O120" s="50"/>
      <c r="P120" s="31"/>
      <c r="Q120" s="31"/>
      <c r="R120" s="60"/>
      <c r="S120" s="60"/>
    </row>
    <row r="121" spans="2:19" x14ac:dyDescent="0.25">
      <c r="B121" s="46"/>
      <c r="E121" s="42"/>
      <c r="G121" s="63"/>
      <c r="I121" s="25"/>
      <c r="J121" s="64"/>
      <c r="K121" s="22"/>
      <c r="L121" s="52"/>
      <c r="M121" s="22"/>
      <c r="N121" s="22"/>
      <c r="O121" s="50"/>
      <c r="P121" s="31"/>
      <c r="Q121" s="31"/>
      <c r="R121" s="60"/>
      <c r="S121" s="60"/>
    </row>
    <row r="122" spans="2:19" x14ac:dyDescent="0.25">
      <c r="B122" s="46"/>
      <c r="E122" s="42"/>
      <c r="G122" s="63"/>
      <c r="H122" s="62"/>
      <c r="I122" s="25"/>
      <c r="J122" s="64"/>
      <c r="K122" s="22"/>
      <c r="L122" s="52"/>
      <c r="M122" s="22"/>
      <c r="N122" s="22"/>
      <c r="O122" s="50"/>
      <c r="P122" s="31"/>
      <c r="Q122" s="31"/>
      <c r="R122" s="60"/>
      <c r="S122" s="60"/>
    </row>
    <row r="123" spans="2:19" x14ac:dyDescent="0.25">
      <c r="B123" s="46"/>
      <c r="E123" s="42"/>
      <c r="G123" s="63"/>
      <c r="H123" s="62"/>
      <c r="I123" s="25"/>
      <c r="J123" s="64"/>
      <c r="K123" s="22"/>
      <c r="L123" s="52"/>
      <c r="M123" s="22"/>
      <c r="N123" s="22"/>
      <c r="O123" s="50"/>
      <c r="P123" s="31"/>
      <c r="Q123" s="31"/>
      <c r="R123" s="60"/>
      <c r="S123" s="60"/>
    </row>
    <row r="124" spans="2:19" x14ac:dyDescent="0.25">
      <c r="B124" s="46"/>
      <c r="I124" s="25"/>
      <c r="J124" s="64"/>
      <c r="K124" s="22"/>
      <c r="L124" s="52"/>
      <c r="M124" s="22"/>
      <c r="N124" s="22"/>
      <c r="O124" s="50"/>
    </row>
    <row r="126" spans="2:19" x14ac:dyDescent="0.25">
      <c r="I126" s="62"/>
      <c r="J126" s="62"/>
      <c r="K126" s="62"/>
      <c r="L126" s="62"/>
      <c r="M126" s="62"/>
      <c r="N126" s="62"/>
      <c r="O126" s="136"/>
    </row>
    <row r="135" spans="5:19" x14ac:dyDescent="0.25">
      <c r="E135" s="20"/>
      <c r="G135" s="20"/>
      <c r="L135" s="25"/>
      <c r="M135" s="25"/>
      <c r="N135" s="42"/>
      <c r="P135" s="57"/>
      <c r="Q135" s="20"/>
      <c r="R135" s="42"/>
      <c r="S135" s="42"/>
    </row>
    <row r="136" spans="5:19" x14ac:dyDescent="0.25">
      <c r="E136" s="20"/>
      <c r="G136" s="20"/>
      <c r="L136" s="25"/>
      <c r="M136" s="25"/>
      <c r="N136" s="42"/>
      <c r="P136" s="57"/>
      <c r="Q136" s="20"/>
      <c r="R136" s="42"/>
      <c r="S136" s="42"/>
    </row>
    <row r="137" spans="5:19" x14ac:dyDescent="0.25">
      <c r="E137" s="20"/>
      <c r="G137" s="20"/>
      <c r="L137" s="25"/>
      <c r="M137" s="25"/>
      <c r="N137" s="42"/>
      <c r="P137" s="57"/>
      <c r="Q137" s="20"/>
      <c r="R137" s="42"/>
      <c r="S137" s="42"/>
    </row>
    <row r="138" spans="5:19" x14ac:dyDescent="0.25">
      <c r="E138" s="20"/>
      <c r="G138" s="20"/>
      <c r="L138" s="25"/>
      <c r="M138" s="25"/>
      <c r="N138" s="42"/>
      <c r="P138" s="57"/>
      <c r="Q138" s="20"/>
      <c r="R138" s="42"/>
      <c r="S138" s="42"/>
    </row>
    <row r="139" spans="5:19" x14ac:dyDescent="0.25">
      <c r="E139" s="20"/>
      <c r="G139" s="20"/>
      <c r="L139" s="25"/>
      <c r="M139" s="25"/>
      <c r="N139" s="42"/>
      <c r="P139" s="57"/>
      <c r="Q139" s="20"/>
      <c r="R139" s="42"/>
      <c r="S139" s="42"/>
    </row>
    <row r="140" spans="5:19" x14ac:dyDescent="0.25">
      <c r="E140" s="20"/>
      <c r="G140" s="20"/>
      <c r="L140" s="25"/>
      <c r="M140" s="25"/>
      <c r="N140" s="42"/>
      <c r="P140" s="57"/>
      <c r="Q140" s="20"/>
      <c r="R140" s="42"/>
      <c r="S140" s="42"/>
    </row>
    <row r="141" spans="5:19" x14ac:dyDescent="0.25">
      <c r="E141" s="20"/>
      <c r="G141" s="20"/>
      <c r="L141" s="25"/>
      <c r="M141" s="25"/>
      <c r="N141" s="42"/>
      <c r="P141" s="57"/>
      <c r="Q141" s="20"/>
      <c r="R141" s="42"/>
      <c r="S141" s="42"/>
    </row>
    <row r="142" spans="5:19" x14ac:dyDescent="0.25">
      <c r="E142" s="20"/>
      <c r="G142" s="20"/>
      <c r="L142" s="25"/>
      <c r="M142" s="25"/>
      <c r="N142" s="42"/>
      <c r="P142" s="57"/>
      <c r="Q142" s="20"/>
      <c r="R142" s="42"/>
      <c r="S142" s="42"/>
    </row>
    <row r="143" spans="5:19" x14ac:dyDescent="0.25">
      <c r="E143" s="20"/>
      <c r="G143" s="20"/>
      <c r="L143" s="25"/>
      <c r="M143" s="25"/>
      <c r="N143" s="42"/>
      <c r="P143" s="57"/>
      <c r="Q143" s="20"/>
      <c r="R143" s="42"/>
      <c r="S143" s="42"/>
    </row>
    <row r="144" spans="5:19" x14ac:dyDescent="0.25">
      <c r="F144" s="40">
        <v>2207.2297224279923</v>
      </c>
    </row>
  </sheetData>
  <dataConsolidate/>
  <mergeCells count="1">
    <mergeCell ref="A1:P1"/>
  </mergeCells>
  <phoneticPr fontId="5" type="noConversion"/>
  <pageMargins left="0.70866141732283472" right="0.70866141732283472" top="0.74803149606299213" bottom="0.74803149606299213" header="0.31496062992125984" footer="0.31496062992125984"/>
  <pageSetup scale="35" fitToHeight="2" orientation="landscape" horizontalDpi="0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964D87-89BC-4228-9332-34AF4934994A}">
          <x14:formula1>
            <xm:f>'B.D.'!$C$6:$C$72</xm:f>
          </x14:formula1>
          <xm:sqref>F17:N17 E4:E108</xm:sqref>
        </x14:dataValidation>
        <x14:dataValidation type="list" allowBlank="1" showInputMessage="1" showErrorMessage="1" xr:uid="{97AEDF90-9D42-4656-8126-5DAA36CF26AE}">
          <x14:formula1>
            <xm:f>'B.D.'!$E$6:$E$9</xm:f>
          </x14:formula1>
          <xm:sqref>R4:R108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F1B1-0294-4FA3-870A-D1C3D882D586}">
  <dimension ref="C1:Z52"/>
  <sheetViews>
    <sheetView showGridLines="0" topLeftCell="A6" zoomScale="62" zoomScaleNormal="62" workbookViewId="0">
      <selection activeCell="I37" sqref="I37"/>
    </sheetView>
  </sheetViews>
  <sheetFormatPr baseColWidth="10" defaultColWidth="11.44140625" defaultRowHeight="14.4" x14ac:dyDescent="0.3"/>
  <cols>
    <col min="1" max="1" width="2.33203125" style="85" customWidth="1"/>
    <col min="2" max="2" width="11.44140625" style="85"/>
    <col min="3" max="3" width="10.5546875" customWidth="1"/>
    <col min="4" max="4" width="11.33203125" customWidth="1"/>
    <col min="5" max="5" width="16.88671875" customWidth="1"/>
    <col min="6" max="6" width="12" bestFit="1" customWidth="1"/>
    <col min="7" max="7" width="14.44140625" customWidth="1"/>
    <col min="8" max="8" width="13.44140625" customWidth="1"/>
    <col min="9" max="9" width="17.33203125" style="202" customWidth="1"/>
    <col min="10" max="10" width="19" customWidth="1"/>
    <col min="11" max="11" width="5.44140625" style="85" customWidth="1"/>
    <col min="12" max="12" width="10.5546875" customWidth="1"/>
    <col min="13" max="13" width="15.6640625" customWidth="1"/>
    <col min="14" max="14" width="12.5546875" bestFit="1" customWidth="1"/>
    <col min="15" max="15" width="10.88671875" bestFit="1" customWidth="1"/>
    <col min="16" max="16" width="12.88671875" customWidth="1"/>
    <col min="17" max="17" width="12" bestFit="1" customWidth="1"/>
    <col min="18" max="18" width="14.33203125" style="202" customWidth="1"/>
    <col min="19" max="19" width="15" customWidth="1"/>
    <col min="20" max="20" width="4.109375" style="85" customWidth="1"/>
    <col min="21" max="21" width="10.5546875" customWidth="1"/>
    <col min="22" max="22" width="15.5546875" customWidth="1"/>
    <col min="23" max="23" width="14.109375" customWidth="1"/>
    <col min="24" max="24" width="15.88671875" style="202" customWidth="1"/>
    <col min="25" max="25" width="14.109375" customWidth="1"/>
    <col min="26" max="26" width="10" customWidth="1"/>
    <col min="27" max="16384" width="11.44140625" style="85"/>
  </cols>
  <sheetData>
    <row r="1" spans="3:26" x14ac:dyDescent="0.3">
      <c r="D1" s="201" t="s">
        <v>230</v>
      </c>
      <c r="M1" s="201" t="s">
        <v>230</v>
      </c>
      <c r="V1" s="201" t="s">
        <v>230</v>
      </c>
    </row>
    <row r="2" spans="3:26" ht="29.25" customHeight="1" x14ac:dyDescent="0.3">
      <c r="D2" s="327" t="s">
        <v>231</v>
      </c>
      <c r="E2" s="328"/>
      <c r="M2" s="327" t="s">
        <v>231</v>
      </c>
      <c r="N2" s="328"/>
      <c r="V2" s="327" t="s">
        <v>231</v>
      </c>
      <c r="W2" s="328"/>
    </row>
    <row r="3" spans="3:26" ht="15" thickBot="1" x14ac:dyDescent="0.35">
      <c r="D3" s="203"/>
      <c r="E3" s="203"/>
      <c r="F3" s="203"/>
      <c r="G3" s="203"/>
      <c r="H3" s="203"/>
      <c r="I3" s="204"/>
      <c r="M3" s="203"/>
      <c r="N3" s="203"/>
      <c r="O3" s="203"/>
      <c r="P3" s="203"/>
      <c r="Q3" s="203"/>
      <c r="R3" s="204"/>
      <c r="V3" s="203"/>
      <c r="W3" s="203"/>
      <c r="X3" s="204"/>
    </row>
    <row r="4" spans="3:26" ht="15" thickBot="1" x14ac:dyDescent="0.35">
      <c r="D4" s="189" t="s">
        <v>232</v>
      </c>
      <c r="E4" s="205" t="s">
        <v>80</v>
      </c>
      <c r="F4" s="206"/>
      <c r="G4" s="206"/>
      <c r="H4" s="206"/>
      <c r="I4" s="207"/>
      <c r="M4" s="189" t="s">
        <v>232</v>
      </c>
      <c r="N4" s="205" t="s">
        <v>80</v>
      </c>
      <c r="O4" s="206"/>
      <c r="P4" s="206"/>
      <c r="Q4" s="206"/>
      <c r="R4" s="207"/>
      <c r="V4" s="189" t="s">
        <v>232</v>
      </c>
      <c r="W4" s="329" t="s">
        <v>280</v>
      </c>
      <c r="X4" s="330"/>
    </row>
    <row r="5" spans="3:26" ht="15" thickBot="1" x14ac:dyDescent="0.35">
      <c r="D5" s="208" t="s">
        <v>233</v>
      </c>
      <c r="E5" s="205" t="s">
        <v>234</v>
      </c>
      <c r="F5" s="206"/>
      <c r="G5" s="206"/>
      <c r="H5" s="206"/>
      <c r="I5" s="209"/>
      <c r="M5" s="208" t="s">
        <v>233</v>
      </c>
      <c r="N5" s="205" t="s">
        <v>245</v>
      </c>
      <c r="O5" s="206"/>
      <c r="P5" s="206"/>
      <c r="Q5" s="206"/>
      <c r="R5" s="209"/>
      <c r="V5" s="208" t="s">
        <v>248</v>
      </c>
      <c r="W5" s="239">
        <v>600</v>
      </c>
      <c r="X5" s="209"/>
    </row>
    <row r="6" spans="3:26" ht="15" thickBot="1" x14ac:dyDescent="0.35">
      <c r="D6" s="208"/>
      <c r="E6" s="210"/>
      <c r="F6" s="206"/>
      <c r="G6" s="206"/>
      <c r="H6" s="206"/>
      <c r="I6" s="209"/>
      <c r="M6" s="208"/>
      <c r="N6" s="210"/>
      <c r="O6" s="206"/>
      <c r="P6" s="206"/>
      <c r="Q6" s="206"/>
      <c r="R6" s="209"/>
      <c r="V6" s="208"/>
      <c r="W6" s="206"/>
      <c r="X6" s="209"/>
    </row>
    <row r="7" spans="3:26" ht="15" thickBot="1" x14ac:dyDescent="0.35">
      <c r="C7" s="331" t="s">
        <v>235</v>
      </c>
      <c r="D7" s="332"/>
      <c r="E7" s="332"/>
      <c r="F7" s="332"/>
      <c r="G7" s="332"/>
      <c r="H7" s="332"/>
      <c r="I7" s="332"/>
      <c r="J7" s="332"/>
      <c r="L7" s="331" t="s">
        <v>235</v>
      </c>
      <c r="M7" s="332"/>
      <c r="N7" s="332"/>
      <c r="O7" s="332"/>
      <c r="P7" s="332"/>
      <c r="Q7" s="332"/>
      <c r="R7" s="332"/>
      <c r="S7" s="332"/>
      <c r="U7" s="331" t="s">
        <v>235</v>
      </c>
      <c r="V7" s="332"/>
      <c r="W7" s="332"/>
      <c r="X7" s="332"/>
      <c r="Y7" s="332"/>
      <c r="Z7" s="333"/>
    </row>
    <row r="8" spans="3:26" x14ac:dyDescent="0.3">
      <c r="C8" s="208"/>
      <c r="D8" s="334"/>
      <c r="E8" s="334"/>
      <c r="F8" s="211"/>
      <c r="G8" s="211"/>
      <c r="H8" s="211"/>
      <c r="I8" s="212"/>
      <c r="J8" s="213"/>
      <c r="L8" s="208"/>
      <c r="M8" s="334"/>
      <c r="N8" s="334"/>
      <c r="O8" s="211"/>
      <c r="P8" s="211"/>
      <c r="Q8" s="211"/>
      <c r="R8" s="212"/>
      <c r="S8" s="213"/>
      <c r="U8" s="208"/>
      <c r="V8" s="334"/>
      <c r="W8" s="334"/>
      <c r="X8" s="212"/>
      <c r="Y8" s="213"/>
      <c r="Z8" s="213"/>
    </row>
    <row r="9" spans="3:26" ht="15" thickBot="1" x14ac:dyDescent="0.35">
      <c r="C9" s="214"/>
      <c r="D9" s="335"/>
      <c r="E9" s="335"/>
      <c r="F9" s="215"/>
      <c r="G9" s="215"/>
      <c r="H9" s="215"/>
      <c r="I9" s="216"/>
      <c r="J9" s="214"/>
      <c r="L9" s="214"/>
      <c r="M9" s="335"/>
      <c r="N9" s="335"/>
      <c r="O9" s="215"/>
      <c r="P9" s="215"/>
      <c r="Q9" s="215"/>
      <c r="R9" s="216"/>
      <c r="S9" s="214"/>
      <c r="U9" s="214"/>
      <c r="V9" s="335"/>
      <c r="W9" s="335"/>
      <c r="X9" s="216"/>
      <c r="Y9" s="214"/>
      <c r="Z9" s="214"/>
    </row>
    <row r="10" spans="3:26" ht="15" thickBot="1" x14ac:dyDescent="0.35">
      <c r="C10" s="336" t="s">
        <v>0</v>
      </c>
      <c r="D10" s="337"/>
      <c r="E10" s="337"/>
      <c r="F10" s="337"/>
      <c r="G10" s="337"/>
      <c r="H10" s="337"/>
      <c r="I10" s="337"/>
      <c r="J10" s="337"/>
      <c r="L10" s="336" t="s">
        <v>0</v>
      </c>
      <c r="M10" s="337"/>
      <c r="N10" s="337"/>
      <c r="O10" s="337"/>
      <c r="P10" s="337"/>
      <c r="Q10" s="337"/>
      <c r="R10" s="337"/>
      <c r="S10" s="337"/>
      <c r="U10" s="336" t="s">
        <v>0</v>
      </c>
      <c r="V10" s="337"/>
      <c r="W10" s="337"/>
      <c r="X10" s="337"/>
      <c r="Y10" s="337"/>
      <c r="Z10" s="338"/>
    </row>
    <row r="11" spans="3:26" ht="39" customHeight="1" thickBot="1" x14ac:dyDescent="0.35">
      <c r="D11" s="217"/>
      <c r="E11" s="217"/>
      <c r="F11" s="217"/>
      <c r="G11" s="217"/>
      <c r="H11" s="217"/>
      <c r="I11" s="218"/>
      <c r="J11" s="213"/>
      <c r="M11" s="217"/>
      <c r="N11" s="217"/>
      <c r="O11" s="217"/>
      <c r="P11" s="217"/>
      <c r="Q11" s="217"/>
      <c r="R11" s="218"/>
      <c r="S11" s="213"/>
      <c r="V11" s="217"/>
      <c r="W11" s="217"/>
      <c r="X11" s="218"/>
      <c r="Y11" s="213"/>
      <c r="Z11" s="213"/>
    </row>
    <row r="12" spans="3:26" ht="28.2" thickBot="1" x14ac:dyDescent="0.35">
      <c r="C12" s="219" t="s">
        <v>16</v>
      </c>
      <c r="D12" s="220" t="s">
        <v>236</v>
      </c>
      <c r="E12" s="220" t="s">
        <v>237</v>
      </c>
      <c r="F12" s="220" t="s">
        <v>238</v>
      </c>
      <c r="G12" s="220" t="s">
        <v>239</v>
      </c>
      <c r="H12" s="221" t="s">
        <v>240</v>
      </c>
      <c r="I12" s="221" t="s">
        <v>241</v>
      </c>
      <c r="J12" s="222" t="s">
        <v>242</v>
      </c>
      <c r="L12" s="219" t="s">
        <v>16</v>
      </c>
      <c r="M12" s="220" t="s">
        <v>236</v>
      </c>
      <c r="N12" s="220" t="s">
        <v>237</v>
      </c>
      <c r="O12" s="220" t="s">
        <v>238</v>
      </c>
      <c r="P12" s="220" t="s">
        <v>239</v>
      </c>
      <c r="Q12" s="221" t="s">
        <v>240</v>
      </c>
      <c r="R12" s="221" t="s">
        <v>246</v>
      </c>
      <c r="S12" s="222" t="s">
        <v>242</v>
      </c>
      <c r="U12" s="219" t="s">
        <v>16</v>
      </c>
      <c r="V12" s="240" t="s">
        <v>249</v>
      </c>
      <c r="W12" s="241" t="s">
        <v>250</v>
      </c>
      <c r="X12" s="242" t="s">
        <v>247</v>
      </c>
      <c r="Y12" s="243" t="s">
        <v>247</v>
      </c>
      <c r="Z12" s="244" t="s">
        <v>251</v>
      </c>
    </row>
    <row r="13" spans="3:26" x14ac:dyDescent="0.3">
      <c r="C13" s="223">
        <v>46204</v>
      </c>
      <c r="D13" s="224">
        <v>463</v>
      </c>
      <c r="E13" s="224">
        <v>0</v>
      </c>
      <c r="F13" s="224">
        <v>5219</v>
      </c>
      <c r="G13" s="224">
        <v>0</v>
      </c>
      <c r="H13" s="225">
        <f>+D13+E13+F13+G13</f>
        <v>5682</v>
      </c>
      <c r="I13" s="226">
        <v>5200</v>
      </c>
      <c r="J13" s="227">
        <f>+H13-I13</f>
        <v>482</v>
      </c>
      <c r="L13" s="223">
        <v>46204</v>
      </c>
      <c r="M13" s="224">
        <v>582</v>
      </c>
      <c r="N13" s="224">
        <v>0</v>
      </c>
      <c r="O13" s="224">
        <v>2894</v>
      </c>
      <c r="P13" s="235">
        <v>0</v>
      </c>
      <c r="Q13" s="226">
        <f>+M13+N13+O13+P13</f>
        <v>3476</v>
      </c>
      <c r="R13" s="236">
        <v>3100</v>
      </c>
      <c r="S13" s="227">
        <f>+Q13-R13</f>
        <v>376</v>
      </c>
      <c r="U13" s="245">
        <v>46204</v>
      </c>
      <c r="V13" s="259">
        <v>19100</v>
      </c>
      <c r="W13" s="260">
        <f>100+100+100+1800+2300</f>
        <v>4400</v>
      </c>
      <c r="X13" s="248">
        <f>V13+W5-W13</f>
        <v>15300</v>
      </c>
      <c r="Y13" s="249">
        <f>X13/Z13</f>
        <v>24.156877605153468</v>
      </c>
      <c r="Z13" s="250">
        <v>633.36</v>
      </c>
    </row>
    <row r="14" spans="3:26" x14ac:dyDescent="0.3">
      <c r="C14" s="223">
        <v>46205</v>
      </c>
      <c r="D14" s="224">
        <v>482</v>
      </c>
      <c r="E14" s="224">
        <v>0</v>
      </c>
      <c r="F14" s="224">
        <v>3167</v>
      </c>
      <c r="G14" s="224">
        <v>0</v>
      </c>
      <c r="H14" s="225">
        <f t="shared" ref="H14:H35" si="0">+D14+E14+F14+G14</f>
        <v>3649</v>
      </c>
      <c r="I14" s="226">
        <v>3200</v>
      </c>
      <c r="J14" s="227">
        <f>H14-I14</f>
        <v>449</v>
      </c>
      <c r="L14" s="223">
        <v>46205</v>
      </c>
      <c r="M14" s="224">
        <v>376</v>
      </c>
      <c r="N14" s="224">
        <v>200</v>
      </c>
      <c r="O14" s="224">
        <v>715</v>
      </c>
      <c r="P14" s="235">
        <v>0</v>
      </c>
      <c r="Q14" s="237">
        <f t="shared" ref="Q14:Q35" si="1">SUM(M14:P14)</f>
        <v>1291</v>
      </c>
      <c r="R14" s="236">
        <v>900</v>
      </c>
      <c r="S14" s="227">
        <f>+Q14-R14</f>
        <v>391</v>
      </c>
      <c r="U14" s="245">
        <v>46205</v>
      </c>
      <c r="V14" s="259">
        <f>700+400</f>
        <v>1100</v>
      </c>
      <c r="W14" s="260">
        <f>300+500+400+100</f>
        <v>1300</v>
      </c>
      <c r="X14" s="248">
        <f>V14+X13-W14</f>
        <v>15100</v>
      </c>
      <c r="Y14" s="249">
        <f t="shared" ref="Y14:Y29" si="2">X14/Z14</f>
        <v>23.604814756917303</v>
      </c>
      <c r="Z14" s="250">
        <v>639.70000000000005</v>
      </c>
    </row>
    <row r="15" spans="3:26" x14ac:dyDescent="0.3">
      <c r="C15" s="223">
        <v>46206</v>
      </c>
      <c r="D15" s="224">
        <v>449</v>
      </c>
      <c r="E15" s="224">
        <v>0</v>
      </c>
      <c r="F15" s="224">
        <v>517</v>
      </c>
      <c r="G15" s="224">
        <v>0</v>
      </c>
      <c r="H15" s="225">
        <f t="shared" si="0"/>
        <v>966</v>
      </c>
      <c r="I15" s="226">
        <v>500</v>
      </c>
      <c r="J15" s="227">
        <f>H15-I15</f>
        <v>466</v>
      </c>
      <c r="L15" s="223">
        <v>46206</v>
      </c>
      <c r="M15" s="224">
        <v>391</v>
      </c>
      <c r="N15" s="224">
        <v>20</v>
      </c>
      <c r="O15" s="224">
        <v>1365</v>
      </c>
      <c r="P15" s="235">
        <v>0</v>
      </c>
      <c r="Q15" s="237">
        <f t="shared" si="1"/>
        <v>1776</v>
      </c>
      <c r="R15" s="236">
        <v>1300</v>
      </c>
      <c r="S15" s="227">
        <f t="shared" ref="S15:S35" si="3">+Q15-R15</f>
        <v>476</v>
      </c>
      <c r="U15" s="245">
        <v>46206</v>
      </c>
      <c r="V15" s="259">
        <v>300</v>
      </c>
      <c r="W15" s="260">
        <f>100+400+1200+1800+1700+900</f>
        <v>6100</v>
      </c>
      <c r="X15" s="248">
        <f>V15+X14-W15</f>
        <v>9300</v>
      </c>
      <c r="Y15" s="249">
        <f t="shared" si="2"/>
        <v>14.242614515215093</v>
      </c>
      <c r="Z15" s="250">
        <v>652.97</v>
      </c>
    </row>
    <row r="16" spans="3:26" x14ac:dyDescent="0.3">
      <c r="C16" s="223">
        <v>46209</v>
      </c>
      <c r="D16" s="224">
        <v>466</v>
      </c>
      <c r="E16" s="224">
        <v>5</v>
      </c>
      <c r="F16" s="224">
        <v>599</v>
      </c>
      <c r="G16" s="224">
        <v>0</v>
      </c>
      <c r="H16" s="225">
        <f t="shared" si="0"/>
        <v>1070</v>
      </c>
      <c r="I16" s="226">
        <v>600</v>
      </c>
      <c r="J16" s="227">
        <f t="shared" ref="J16:J31" si="4">H16-I16</f>
        <v>470</v>
      </c>
      <c r="L16" s="223">
        <v>46209</v>
      </c>
      <c r="M16" s="224">
        <v>476</v>
      </c>
      <c r="N16" s="224">
        <v>0</v>
      </c>
      <c r="O16" s="224">
        <v>2280</v>
      </c>
      <c r="P16" s="235">
        <v>0</v>
      </c>
      <c r="Q16" s="237">
        <f t="shared" si="1"/>
        <v>2756</v>
      </c>
      <c r="R16" s="236">
        <v>2200</v>
      </c>
      <c r="S16" s="227">
        <f t="shared" si="3"/>
        <v>556</v>
      </c>
      <c r="U16" s="245">
        <v>46209</v>
      </c>
      <c r="V16" s="259">
        <v>36000</v>
      </c>
      <c r="W16" s="260">
        <f>200+600+1000+1000+3500+1000+500</f>
        <v>7800</v>
      </c>
      <c r="X16" s="248">
        <f t="shared" ref="X16:X33" si="5">V16+X15-W16</f>
        <v>37500</v>
      </c>
      <c r="Y16" s="249">
        <f t="shared" si="2"/>
        <v>56.217674836968747</v>
      </c>
      <c r="Z16" s="250">
        <v>667.05</v>
      </c>
    </row>
    <row r="17" spans="3:26" x14ac:dyDescent="0.3">
      <c r="C17" s="223">
        <v>46210</v>
      </c>
      <c r="D17" s="224">
        <v>470</v>
      </c>
      <c r="E17" s="224">
        <v>30</v>
      </c>
      <c r="F17" s="224">
        <v>1428</v>
      </c>
      <c r="G17" s="224">
        <v>0</v>
      </c>
      <c r="H17" s="225">
        <f t="shared" si="0"/>
        <v>1928</v>
      </c>
      <c r="I17" s="226">
        <v>1500</v>
      </c>
      <c r="J17" s="227">
        <f t="shared" si="4"/>
        <v>428</v>
      </c>
      <c r="L17" s="223">
        <v>46210</v>
      </c>
      <c r="M17" s="224">
        <v>556</v>
      </c>
      <c r="N17" s="224">
        <v>0</v>
      </c>
      <c r="O17" s="224">
        <v>2230</v>
      </c>
      <c r="P17" s="235">
        <v>0</v>
      </c>
      <c r="Q17" s="237">
        <f t="shared" si="1"/>
        <v>2786</v>
      </c>
      <c r="R17" s="236">
        <v>2400</v>
      </c>
      <c r="S17" s="227">
        <f t="shared" si="3"/>
        <v>386</v>
      </c>
      <c r="U17" s="245">
        <v>46210</v>
      </c>
      <c r="V17" s="259">
        <v>0</v>
      </c>
      <c r="W17" s="260">
        <f>1500+500+1000+1000+3000</f>
        <v>7000</v>
      </c>
      <c r="X17" s="248">
        <f t="shared" si="5"/>
        <v>30500</v>
      </c>
      <c r="Y17" s="249">
        <f t="shared" si="2"/>
        <v>45.189871542234016</v>
      </c>
      <c r="Z17" s="250">
        <v>674.93</v>
      </c>
    </row>
    <row r="18" spans="3:26" x14ac:dyDescent="0.3">
      <c r="C18" s="228">
        <v>46211</v>
      </c>
      <c r="D18" s="224">
        <v>428</v>
      </c>
      <c r="E18" s="224">
        <v>0</v>
      </c>
      <c r="F18" s="224">
        <v>452</v>
      </c>
      <c r="G18" s="224">
        <v>0</v>
      </c>
      <c r="H18" s="225">
        <f t="shared" si="0"/>
        <v>880</v>
      </c>
      <c r="I18" s="226">
        <v>400</v>
      </c>
      <c r="J18" s="227">
        <f t="shared" si="4"/>
        <v>480</v>
      </c>
      <c r="L18" s="223">
        <v>46211</v>
      </c>
      <c r="M18" s="224">
        <v>386</v>
      </c>
      <c r="N18" s="224">
        <v>0</v>
      </c>
      <c r="O18" s="224">
        <v>895</v>
      </c>
      <c r="P18" s="235">
        <v>0</v>
      </c>
      <c r="Q18" s="237">
        <f t="shared" si="1"/>
        <v>1281</v>
      </c>
      <c r="R18" s="236">
        <v>1000</v>
      </c>
      <c r="S18" s="227">
        <f t="shared" si="3"/>
        <v>281</v>
      </c>
      <c r="U18" s="245">
        <v>46211</v>
      </c>
      <c r="V18" s="259">
        <v>0</v>
      </c>
      <c r="W18" s="260">
        <f>500+500+500+500+500</f>
        <v>2500</v>
      </c>
      <c r="X18" s="248">
        <f t="shared" si="5"/>
        <v>28000</v>
      </c>
      <c r="Y18" s="249">
        <f t="shared" si="2"/>
        <v>40.819896783975274</v>
      </c>
      <c r="Z18" s="250">
        <v>685.94</v>
      </c>
    </row>
    <row r="19" spans="3:26" x14ac:dyDescent="0.3">
      <c r="C19" s="228">
        <v>46212</v>
      </c>
      <c r="D19" s="224">
        <v>480</v>
      </c>
      <c r="E19" s="224">
        <v>0</v>
      </c>
      <c r="F19" s="224">
        <v>595</v>
      </c>
      <c r="G19" s="224">
        <v>0</v>
      </c>
      <c r="H19" s="225">
        <f t="shared" si="0"/>
        <v>1075</v>
      </c>
      <c r="I19" s="226">
        <v>600</v>
      </c>
      <c r="J19" s="227">
        <f t="shared" si="4"/>
        <v>475</v>
      </c>
      <c r="L19" s="223">
        <v>46212</v>
      </c>
      <c r="M19" s="224">
        <v>281</v>
      </c>
      <c r="N19" s="224">
        <v>0</v>
      </c>
      <c r="O19" s="224">
        <v>584</v>
      </c>
      <c r="P19" s="235">
        <v>286</v>
      </c>
      <c r="Q19" s="237">
        <f t="shared" si="1"/>
        <v>1151</v>
      </c>
      <c r="R19" s="236">
        <v>850</v>
      </c>
      <c r="S19" s="227">
        <f t="shared" si="3"/>
        <v>301</v>
      </c>
      <c r="U19" s="245">
        <v>46212</v>
      </c>
      <c r="V19" s="259">
        <v>3250</v>
      </c>
      <c r="W19" s="260">
        <f>2000+100+650+2100+700</f>
        <v>5550</v>
      </c>
      <c r="X19" s="248">
        <f t="shared" si="5"/>
        <v>25700</v>
      </c>
      <c r="Y19" s="249">
        <f t="shared" si="2"/>
        <v>36.70275056410842</v>
      </c>
      <c r="Z19" s="250">
        <v>700.22</v>
      </c>
    </row>
    <row r="20" spans="3:26" x14ac:dyDescent="0.3">
      <c r="C20" s="228">
        <v>46213</v>
      </c>
      <c r="D20" s="224">
        <v>475</v>
      </c>
      <c r="E20" s="224">
        <v>0</v>
      </c>
      <c r="F20" s="224">
        <v>101</v>
      </c>
      <c r="G20" s="224">
        <v>0</v>
      </c>
      <c r="H20" s="225">
        <f t="shared" si="0"/>
        <v>576</v>
      </c>
      <c r="I20" s="226">
        <v>200</v>
      </c>
      <c r="J20" s="227">
        <f t="shared" si="4"/>
        <v>376</v>
      </c>
      <c r="L20" s="223">
        <v>46213</v>
      </c>
      <c r="M20" s="224">
        <v>301</v>
      </c>
      <c r="N20" s="224">
        <v>0</v>
      </c>
      <c r="O20" s="224">
        <v>1405</v>
      </c>
      <c r="P20" s="235">
        <v>0</v>
      </c>
      <c r="Q20" s="237">
        <f t="shared" si="1"/>
        <v>1706</v>
      </c>
      <c r="R20" s="236">
        <v>1400</v>
      </c>
      <c r="S20" s="227">
        <f t="shared" si="3"/>
        <v>306</v>
      </c>
      <c r="U20" s="245">
        <v>46213</v>
      </c>
      <c r="V20" s="259">
        <v>0</v>
      </c>
      <c r="W20" s="260">
        <f>500+1500</f>
        <v>2000</v>
      </c>
      <c r="X20" s="248">
        <f>V20+X19-W20</f>
        <v>23700</v>
      </c>
      <c r="Y20" s="249">
        <f t="shared" si="2"/>
        <v>33.394862545618508</v>
      </c>
      <c r="Z20" s="250">
        <v>709.69</v>
      </c>
    </row>
    <row r="21" spans="3:26" x14ac:dyDescent="0.3">
      <c r="C21" s="228">
        <v>46216</v>
      </c>
      <c r="D21" s="224">
        <v>376</v>
      </c>
      <c r="E21" s="224">
        <v>41</v>
      </c>
      <c r="F21" s="224">
        <v>1074.5999999999999</v>
      </c>
      <c r="G21" s="224">
        <v>170</v>
      </c>
      <c r="H21" s="225">
        <f t="shared" si="0"/>
        <v>1661.6</v>
      </c>
      <c r="I21" s="226">
        <v>1408.6</v>
      </c>
      <c r="J21" s="227">
        <f t="shared" si="4"/>
        <v>253</v>
      </c>
      <c r="L21" s="223">
        <v>46216</v>
      </c>
      <c r="M21" s="224">
        <v>306</v>
      </c>
      <c r="N21" s="224">
        <v>0</v>
      </c>
      <c r="O21" s="224">
        <v>654</v>
      </c>
      <c r="P21" s="235">
        <v>0</v>
      </c>
      <c r="Q21" s="237">
        <f t="shared" si="1"/>
        <v>960</v>
      </c>
      <c r="R21" s="236">
        <v>650</v>
      </c>
      <c r="S21" s="227">
        <f t="shared" si="3"/>
        <v>310</v>
      </c>
      <c r="U21" s="245">
        <v>46216</v>
      </c>
      <c r="V21" s="259">
        <v>0</v>
      </c>
      <c r="W21" s="260">
        <f>900+400+250</f>
        <v>1550</v>
      </c>
      <c r="X21" s="248">
        <f t="shared" si="5"/>
        <v>22150</v>
      </c>
      <c r="Y21" s="249">
        <f t="shared" si="2"/>
        <v>30.706314549109308</v>
      </c>
      <c r="Z21" s="250">
        <v>721.35</v>
      </c>
    </row>
    <row r="22" spans="3:26" x14ac:dyDescent="0.3">
      <c r="C22" s="228">
        <v>46217</v>
      </c>
      <c r="D22" s="224">
        <v>253</v>
      </c>
      <c r="E22" s="224">
        <v>0</v>
      </c>
      <c r="F22" s="224">
        <v>1513</v>
      </c>
      <c r="G22" s="224">
        <v>0</v>
      </c>
      <c r="H22" s="225">
        <f t="shared" si="0"/>
        <v>1766</v>
      </c>
      <c r="I22" s="226">
        <v>1400</v>
      </c>
      <c r="J22" s="227">
        <f>H22-I22</f>
        <v>366</v>
      </c>
      <c r="L22" s="223">
        <v>46217</v>
      </c>
      <c r="M22" s="224">
        <v>310</v>
      </c>
      <c r="N22" s="224">
        <v>0</v>
      </c>
      <c r="O22" s="224">
        <v>1075</v>
      </c>
      <c r="P22" s="235">
        <v>0</v>
      </c>
      <c r="Q22" s="237">
        <f t="shared" si="1"/>
        <v>1385</v>
      </c>
      <c r="R22" s="236">
        <v>1000</v>
      </c>
      <c r="S22" s="227">
        <f t="shared" si="3"/>
        <v>385</v>
      </c>
      <c r="U22" s="245">
        <v>46217</v>
      </c>
      <c r="V22" s="259">
        <v>0</v>
      </c>
      <c r="W22" s="260">
        <f>500+350+100+2200+1100+1200+100+500+1700</f>
        <v>7750</v>
      </c>
      <c r="X22" s="248">
        <f t="shared" si="5"/>
        <v>14400</v>
      </c>
      <c r="Y22" s="249">
        <f t="shared" si="2"/>
        <v>19.88950276243094</v>
      </c>
      <c r="Z22" s="250">
        <v>724</v>
      </c>
    </row>
    <row r="23" spans="3:26" x14ac:dyDescent="0.3">
      <c r="C23" s="228">
        <v>46218</v>
      </c>
      <c r="D23" s="224">
        <v>366</v>
      </c>
      <c r="E23" s="224">
        <v>0</v>
      </c>
      <c r="F23" s="224">
        <v>1010</v>
      </c>
      <c r="G23" s="224">
        <v>0</v>
      </c>
      <c r="H23" s="225">
        <f t="shared" si="0"/>
        <v>1376</v>
      </c>
      <c r="I23" s="226">
        <v>900</v>
      </c>
      <c r="J23" s="227">
        <f t="shared" si="4"/>
        <v>476</v>
      </c>
      <c r="L23" s="223">
        <v>46218</v>
      </c>
      <c r="M23" s="224">
        <v>385</v>
      </c>
      <c r="N23" s="224">
        <v>0</v>
      </c>
      <c r="O23" s="224">
        <v>655</v>
      </c>
      <c r="P23" s="235">
        <v>0</v>
      </c>
      <c r="Q23" s="237">
        <f t="shared" si="1"/>
        <v>1040</v>
      </c>
      <c r="R23" s="236">
        <v>700</v>
      </c>
      <c r="S23" s="227">
        <f t="shared" si="3"/>
        <v>340</v>
      </c>
      <c r="U23" s="245">
        <v>46218</v>
      </c>
      <c r="V23" s="259">
        <v>0</v>
      </c>
      <c r="W23" s="260">
        <f>600+200+500+500+1500+500+600+3000</f>
        <v>7400</v>
      </c>
      <c r="X23" s="248">
        <f t="shared" si="5"/>
        <v>7000</v>
      </c>
      <c r="Y23" s="249">
        <f t="shared" si="2"/>
        <v>9.645194626248708</v>
      </c>
      <c r="Z23" s="250">
        <v>725.75</v>
      </c>
    </row>
    <row r="24" spans="3:26" x14ac:dyDescent="0.3">
      <c r="C24" s="228">
        <v>46219</v>
      </c>
      <c r="D24" s="224">
        <v>476</v>
      </c>
      <c r="E24" s="224">
        <v>0</v>
      </c>
      <c r="F24" s="224">
        <v>5835</v>
      </c>
      <c r="G24" s="224">
        <v>0</v>
      </c>
      <c r="H24" s="225">
        <f t="shared" si="0"/>
        <v>6311</v>
      </c>
      <c r="I24" s="226">
        <v>5800</v>
      </c>
      <c r="J24" s="227">
        <f t="shared" si="4"/>
        <v>511</v>
      </c>
      <c r="L24" s="223">
        <v>46219</v>
      </c>
      <c r="M24" s="224">
        <v>340</v>
      </c>
      <c r="N24" s="224">
        <v>50</v>
      </c>
      <c r="O24" s="224">
        <v>1499</v>
      </c>
      <c r="P24" s="235">
        <v>0</v>
      </c>
      <c r="Q24" s="237">
        <f t="shared" si="1"/>
        <v>1889</v>
      </c>
      <c r="R24" s="236">
        <v>1550</v>
      </c>
      <c r="S24" s="227">
        <f t="shared" si="3"/>
        <v>339</v>
      </c>
      <c r="U24" s="245">
        <v>46219</v>
      </c>
      <c r="V24" s="259">
        <v>0</v>
      </c>
      <c r="W24" s="260">
        <f>1500+500+1000+2000+500+1500</f>
        <v>7000</v>
      </c>
      <c r="X24" s="248">
        <f t="shared" si="5"/>
        <v>0</v>
      </c>
      <c r="Y24" s="249">
        <f t="shared" si="2"/>
        <v>0</v>
      </c>
      <c r="Z24" s="250">
        <v>727.45</v>
      </c>
    </row>
    <row r="25" spans="3:26" x14ac:dyDescent="0.3">
      <c r="C25" s="228">
        <v>46220</v>
      </c>
      <c r="D25" s="224">
        <v>511</v>
      </c>
      <c r="E25" s="224">
        <v>50</v>
      </c>
      <c r="F25" s="224">
        <v>2519</v>
      </c>
      <c r="G25" s="224">
        <v>0</v>
      </c>
      <c r="H25" s="225">
        <f t="shared" si="0"/>
        <v>3080</v>
      </c>
      <c r="I25" s="226">
        <v>2600</v>
      </c>
      <c r="J25" s="227">
        <f t="shared" si="4"/>
        <v>480</v>
      </c>
      <c r="L25" s="223">
        <v>46220</v>
      </c>
      <c r="M25" s="224">
        <v>339</v>
      </c>
      <c r="N25" s="224">
        <v>0</v>
      </c>
      <c r="O25" s="224">
        <v>442</v>
      </c>
      <c r="P25" s="235">
        <v>0</v>
      </c>
      <c r="Q25" s="237">
        <f t="shared" si="1"/>
        <v>781</v>
      </c>
      <c r="R25" s="236">
        <v>400</v>
      </c>
      <c r="S25" s="227">
        <f t="shared" si="3"/>
        <v>381</v>
      </c>
      <c r="U25" s="245">
        <v>46220</v>
      </c>
      <c r="V25" s="259">
        <v>7050</v>
      </c>
      <c r="W25" s="260">
        <f>500+1700+1200+400+100</f>
        <v>3900</v>
      </c>
      <c r="X25" s="248">
        <f t="shared" si="5"/>
        <v>3150</v>
      </c>
      <c r="Y25" s="249">
        <f t="shared" si="2"/>
        <v>4.330194515086947</v>
      </c>
      <c r="Z25" s="250">
        <v>727.45</v>
      </c>
    </row>
    <row r="26" spans="3:26" x14ac:dyDescent="0.3">
      <c r="C26" s="228">
        <v>46223</v>
      </c>
      <c r="D26" s="224">
        <v>480</v>
      </c>
      <c r="E26" s="224">
        <v>0</v>
      </c>
      <c r="F26" s="224">
        <v>1349</v>
      </c>
      <c r="G26" s="224">
        <v>0</v>
      </c>
      <c r="H26" s="225">
        <f t="shared" si="0"/>
        <v>1829</v>
      </c>
      <c r="I26" s="226">
        <v>1400</v>
      </c>
      <c r="J26" s="227">
        <f t="shared" si="4"/>
        <v>429</v>
      </c>
      <c r="L26" s="223">
        <v>46223</v>
      </c>
      <c r="M26" s="224">
        <v>381</v>
      </c>
      <c r="N26" s="224">
        <v>0</v>
      </c>
      <c r="O26" s="224">
        <v>1276</v>
      </c>
      <c r="P26" s="235">
        <v>0</v>
      </c>
      <c r="Q26" s="237">
        <f t="shared" si="1"/>
        <v>1657</v>
      </c>
      <c r="R26" s="236">
        <v>1200</v>
      </c>
      <c r="S26" s="227">
        <f t="shared" si="3"/>
        <v>457</v>
      </c>
      <c r="U26" s="245">
        <v>46223</v>
      </c>
      <c r="V26" s="259">
        <v>350</v>
      </c>
      <c r="W26" s="260">
        <f>500+450+500+350</f>
        <v>1800</v>
      </c>
      <c r="X26" s="248">
        <f>V26-W26+X25</f>
        <v>1700</v>
      </c>
      <c r="Y26" s="249">
        <f t="shared" si="2"/>
        <v>2.3068676807837925</v>
      </c>
      <c r="Z26" s="250">
        <v>736.93</v>
      </c>
    </row>
    <row r="27" spans="3:26" x14ac:dyDescent="0.3">
      <c r="C27" s="228">
        <v>46224</v>
      </c>
      <c r="D27" s="224">
        <v>429</v>
      </c>
      <c r="E27" s="224">
        <v>52</v>
      </c>
      <c r="F27" s="224">
        <v>2025</v>
      </c>
      <c r="G27" s="224">
        <v>40</v>
      </c>
      <c r="H27" s="225">
        <f t="shared" si="0"/>
        <v>2546</v>
      </c>
      <c r="I27" s="226">
        <v>2000</v>
      </c>
      <c r="J27" s="227">
        <f t="shared" si="4"/>
        <v>546</v>
      </c>
      <c r="L27" s="223">
        <v>46224</v>
      </c>
      <c r="M27" s="224">
        <v>457</v>
      </c>
      <c r="N27" s="224">
        <v>0</v>
      </c>
      <c r="O27" s="224">
        <v>993</v>
      </c>
      <c r="P27" s="235">
        <v>0</v>
      </c>
      <c r="Q27" s="237">
        <f t="shared" si="1"/>
        <v>1450</v>
      </c>
      <c r="R27" s="236">
        <v>1000</v>
      </c>
      <c r="S27" s="227">
        <f t="shared" si="3"/>
        <v>450</v>
      </c>
      <c r="U27" s="245">
        <v>46224</v>
      </c>
      <c r="V27" s="259">
        <v>500</v>
      </c>
      <c r="W27" s="260">
        <f>1050+300+700+150</f>
        <v>2200</v>
      </c>
      <c r="X27" s="248">
        <f>V27-W27+X26</f>
        <v>0</v>
      </c>
      <c r="Y27" s="249">
        <f t="shared" si="2"/>
        <v>0</v>
      </c>
      <c r="Z27" s="250">
        <v>737.23</v>
      </c>
    </row>
    <row r="28" spans="3:26" x14ac:dyDescent="0.3">
      <c r="C28" s="228">
        <v>46225</v>
      </c>
      <c r="D28" s="224">
        <v>546</v>
      </c>
      <c r="E28" s="224">
        <v>0</v>
      </c>
      <c r="F28" s="224">
        <v>1321</v>
      </c>
      <c r="G28" s="224">
        <v>0</v>
      </c>
      <c r="H28" s="225">
        <f t="shared" si="0"/>
        <v>1867</v>
      </c>
      <c r="I28" s="226">
        <v>1300</v>
      </c>
      <c r="J28" s="227">
        <f t="shared" si="4"/>
        <v>567</v>
      </c>
      <c r="L28" s="223">
        <v>46225</v>
      </c>
      <c r="M28" s="224">
        <v>450</v>
      </c>
      <c r="N28" s="224">
        <v>0</v>
      </c>
      <c r="O28" s="224">
        <v>1180</v>
      </c>
      <c r="P28" s="235">
        <v>0</v>
      </c>
      <c r="Q28" s="237">
        <f t="shared" si="1"/>
        <v>1630</v>
      </c>
      <c r="R28" s="236">
        <v>1300</v>
      </c>
      <c r="S28" s="227">
        <f t="shared" si="3"/>
        <v>330</v>
      </c>
      <c r="U28" s="245">
        <v>46226</v>
      </c>
      <c r="V28" s="259">
        <v>170</v>
      </c>
      <c r="W28" s="260">
        <v>0</v>
      </c>
      <c r="X28" s="248">
        <f t="shared" si="5"/>
        <v>170</v>
      </c>
      <c r="Y28" s="249">
        <f t="shared" si="2"/>
        <v>0.2303897652734862</v>
      </c>
      <c r="Z28" s="250">
        <v>737.88</v>
      </c>
    </row>
    <row r="29" spans="3:26" x14ac:dyDescent="0.3">
      <c r="C29" s="228">
        <v>46226</v>
      </c>
      <c r="D29" s="224">
        <v>567</v>
      </c>
      <c r="E29" s="224">
        <v>0</v>
      </c>
      <c r="F29" s="224">
        <v>229</v>
      </c>
      <c r="G29" s="224">
        <v>2000</v>
      </c>
      <c r="H29" s="225">
        <f t="shared" si="0"/>
        <v>2796</v>
      </c>
      <c r="I29" s="226">
        <v>2300</v>
      </c>
      <c r="J29" s="227">
        <f t="shared" si="4"/>
        <v>496</v>
      </c>
      <c r="L29" s="223">
        <v>46226</v>
      </c>
      <c r="M29" s="224">
        <v>330</v>
      </c>
      <c r="N29" s="224">
        <v>230</v>
      </c>
      <c r="O29" s="224">
        <v>494</v>
      </c>
      <c r="P29" s="235">
        <v>0</v>
      </c>
      <c r="Q29" s="237">
        <f t="shared" si="1"/>
        <v>1054</v>
      </c>
      <c r="R29" s="236">
        <v>700</v>
      </c>
      <c r="S29" s="227">
        <f t="shared" si="3"/>
        <v>354</v>
      </c>
      <c r="U29" s="245">
        <v>46230</v>
      </c>
      <c r="V29" s="259">
        <f>750+200</f>
        <v>950</v>
      </c>
      <c r="W29" s="260">
        <v>170</v>
      </c>
      <c r="X29" s="248">
        <f t="shared" si="5"/>
        <v>950</v>
      </c>
      <c r="Y29" s="249">
        <f t="shared" si="2"/>
        <v>1.279926707354863</v>
      </c>
      <c r="Z29" s="250">
        <v>742.23</v>
      </c>
    </row>
    <row r="30" spans="3:26" x14ac:dyDescent="0.3">
      <c r="C30" s="228">
        <v>46227</v>
      </c>
      <c r="D30" s="224">
        <v>496</v>
      </c>
      <c r="E30" s="224">
        <v>0</v>
      </c>
      <c r="F30" s="224">
        <v>526</v>
      </c>
      <c r="G30" s="224">
        <v>0</v>
      </c>
      <c r="H30" s="225">
        <f t="shared" si="0"/>
        <v>1022</v>
      </c>
      <c r="I30" s="226">
        <v>600</v>
      </c>
      <c r="J30" s="227">
        <f t="shared" si="4"/>
        <v>422</v>
      </c>
      <c r="L30" s="223">
        <v>46230</v>
      </c>
      <c r="M30" s="224">
        <v>354</v>
      </c>
      <c r="N30" s="224">
        <v>93</v>
      </c>
      <c r="O30" s="224">
        <v>1883</v>
      </c>
      <c r="P30" s="235">
        <v>500</v>
      </c>
      <c r="Q30" s="237">
        <f t="shared" si="1"/>
        <v>2830</v>
      </c>
      <c r="R30" s="236">
        <v>2350</v>
      </c>
      <c r="S30" s="227">
        <f t="shared" si="3"/>
        <v>480</v>
      </c>
      <c r="U30" s="245">
        <v>46231</v>
      </c>
      <c r="V30" s="259">
        <f>11900+370</f>
        <v>12270</v>
      </c>
      <c r="W30" s="260">
        <f>850+100</f>
        <v>950</v>
      </c>
      <c r="X30" s="248">
        <f t="shared" si="5"/>
        <v>12270</v>
      </c>
      <c r="Y30" s="249">
        <f>X30/Z30</f>
        <v>16.51835597259057</v>
      </c>
      <c r="Z30" s="250">
        <v>742.81</v>
      </c>
    </row>
    <row r="31" spans="3:26" ht="15.75" customHeight="1" x14ac:dyDescent="0.3">
      <c r="C31" s="228">
        <v>46230</v>
      </c>
      <c r="D31" s="224">
        <v>422</v>
      </c>
      <c r="E31" s="224">
        <v>0</v>
      </c>
      <c r="F31" s="224">
        <v>945</v>
      </c>
      <c r="G31" s="224">
        <v>0</v>
      </c>
      <c r="H31" s="225">
        <f t="shared" si="0"/>
        <v>1367</v>
      </c>
      <c r="I31" s="226">
        <v>1100</v>
      </c>
      <c r="J31" s="227">
        <f t="shared" si="4"/>
        <v>267</v>
      </c>
      <c r="L31" s="223">
        <v>46231</v>
      </c>
      <c r="M31" s="224">
        <v>480</v>
      </c>
      <c r="N31" s="224">
        <v>0</v>
      </c>
      <c r="O31" s="224">
        <v>1667</v>
      </c>
      <c r="P31" s="235">
        <v>84</v>
      </c>
      <c r="Q31" s="237">
        <f t="shared" si="1"/>
        <v>2231</v>
      </c>
      <c r="R31" s="236">
        <v>1800</v>
      </c>
      <c r="S31" s="227">
        <f t="shared" si="3"/>
        <v>431</v>
      </c>
      <c r="U31" s="245">
        <v>46232</v>
      </c>
      <c r="V31" s="259">
        <v>100</v>
      </c>
      <c r="W31" s="260">
        <f>560+2050+160+200+200</f>
        <v>3170</v>
      </c>
      <c r="X31" s="248">
        <f t="shared" si="5"/>
        <v>9200</v>
      </c>
      <c r="Y31" s="249">
        <f>X31/Z31</f>
        <v>12.361935986670607</v>
      </c>
      <c r="Z31" s="250">
        <v>744.22</v>
      </c>
    </row>
    <row r="32" spans="3:26" ht="15" customHeight="1" x14ac:dyDescent="0.3">
      <c r="C32" s="228">
        <v>46231</v>
      </c>
      <c r="D32" s="224">
        <v>267</v>
      </c>
      <c r="E32" s="224">
        <v>0</v>
      </c>
      <c r="F32" s="224">
        <v>705</v>
      </c>
      <c r="G32" s="224">
        <v>0</v>
      </c>
      <c r="H32" s="225">
        <f t="shared" si="0"/>
        <v>972</v>
      </c>
      <c r="I32" s="226">
        <v>500</v>
      </c>
      <c r="J32" s="227">
        <f>H32-I32</f>
        <v>472</v>
      </c>
      <c r="L32" s="223">
        <v>46232</v>
      </c>
      <c r="M32" s="224">
        <v>431</v>
      </c>
      <c r="N32" s="224">
        <v>0</v>
      </c>
      <c r="O32" s="224">
        <v>1349</v>
      </c>
      <c r="P32" s="235">
        <v>0</v>
      </c>
      <c r="Q32" s="237">
        <f t="shared" si="1"/>
        <v>1780</v>
      </c>
      <c r="R32" s="236">
        <v>1200</v>
      </c>
      <c r="S32" s="227">
        <f t="shared" si="3"/>
        <v>580</v>
      </c>
      <c r="U32" s="245">
        <v>46233</v>
      </c>
      <c r="V32" s="259">
        <v>0</v>
      </c>
      <c r="W32" s="260">
        <f>600+400+2000+1200+2000+2000</f>
        <v>8200</v>
      </c>
      <c r="X32" s="248">
        <f t="shared" si="5"/>
        <v>1000</v>
      </c>
      <c r="Y32" s="249">
        <f>X32/Z32</f>
        <v>1.3411297677163243</v>
      </c>
      <c r="Z32" s="250">
        <v>745.64</v>
      </c>
    </row>
    <row r="33" spans="3:26" ht="15" customHeight="1" x14ac:dyDescent="0.3">
      <c r="C33" s="228">
        <v>46232</v>
      </c>
      <c r="D33" s="224">
        <v>472</v>
      </c>
      <c r="E33" s="224">
        <v>70</v>
      </c>
      <c r="F33" s="224">
        <v>767</v>
      </c>
      <c r="G33" s="224">
        <v>781.01</v>
      </c>
      <c r="H33" s="225">
        <f t="shared" si="0"/>
        <v>2090.0100000000002</v>
      </c>
      <c r="I33" s="226">
        <v>1681.01</v>
      </c>
      <c r="J33" s="227">
        <f>H33-I33</f>
        <v>409.00000000000023</v>
      </c>
      <c r="L33" s="223">
        <v>46233</v>
      </c>
      <c r="M33" s="224">
        <v>580</v>
      </c>
      <c r="N33" s="224">
        <v>0</v>
      </c>
      <c r="O33" s="224">
        <v>1560</v>
      </c>
      <c r="P33" s="235">
        <v>3000</v>
      </c>
      <c r="Q33" s="237">
        <f t="shared" si="1"/>
        <v>5140</v>
      </c>
      <c r="R33" s="236">
        <v>4700</v>
      </c>
      <c r="S33" s="227">
        <f t="shared" si="3"/>
        <v>440</v>
      </c>
      <c r="U33" s="245">
        <v>46234</v>
      </c>
      <c r="V33" s="259">
        <v>1000</v>
      </c>
      <c r="W33" s="260">
        <f>120+200+600</f>
        <v>920</v>
      </c>
      <c r="X33" s="248">
        <f t="shared" si="5"/>
        <v>1080</v>
      </c>
      <c r="Y33" s="249">
        <f>X33/Z33</f>
        <v>1.4464996048913117</v>
      </c>
      <c r="Z33" s="250">
        <v>746.63</v>
      </c>
    </row>
    <row r="34" spans="3:26" ht="15" customHeight="1" x14ac:dyDescent="0.3">
      <c r="C34" s="228">
        <v>46233</v>
      </c>
      <c r="D34" s="224">
        <v>409</v>
      </c>
      <c r="E34" s="224">
        <v>20</v>
      </c>
      <c r="F34" s="224">
        <v>233</v>
      </c>
      <c r="G34" s="224">
        <v>0</v>
      </c>
      <c r="H34" s="225">
        <f t="shared" si="0"/>
        <v>662</v>
      </c>
      <c r="I34" s="226">
        <v>300</v>
      </c>
      <c r="J34" s="227">
        <f>H34-I34</f>
        <v>362</v>
      </c>
      <c r="L34" s="223">
        <v>46234</v>
      </c>
      <c r="M34" s="224">
        <v>440</v>
      </c>
      <c r="N34" s="224">
        <v>0</v>
      </c>
      <c r="O34" s="224">
        <v>2231</v>
      </c>
      <c r="P34" s="235">
        <v>0</v>
      </c>
      <c r="Q34" s="237">
        <f t="shared" si="1"/>
        <v>2671</v>
      </c>
      <c r="R34" s="236">
        <v>2400</v>
      </c>
      <c r="S34" s="227">
        <f t="shared" si="3"/>
        <v>271</v>
      </c>
      <c r="U34" s="245"/>
      <c r="V34" s="246">
        <v>0</v>
      </c>
      <c r="W34" s="247">
        <v>0</v>
      </c>
      <c r="X34" s="248">
        <v>0</v>
      </c>
      <c r="Y34" s="249">
        <v>0</v>
      </c>
      <c r="Z34" s="250">
        <v>0</v>
      </c>
    </row>
    <row r="35" spans="3:26" ht="15" customHeight="1" thickBot="1" x14ac:dyDescent="0.35">
      <c r="C35" s="228">
        <v>46234</v>
      </c>
      <c r="D35" s="224">
        <v>362</v>
      </c>
      <c r="E35" s="224">
        <v>0</v>
      </c>
      <c r="F35" s="224">
        <v>734</v>
      </c>
      <c r="G35" s="255">
        <v>0</v>
      </c>
      <c r="H35" s="225">
        <f t="shared" si="0"/>
        <v>1096</v>
      </c>
      <c r="I35" s="226">
        <v>900</v>
      </c>
      <c r="J35" s="256">
        <f t="shared" ref="J35" si="6">H35-I35</f>
        <v>196</v>
      </c>
      <c r="L35" s="228"/>
      <c r="M35" s="224">
        <v>0</v>
      </c>
      <c r="N35" s="224">
        <v>0</v>
      </c>
      <c r="O35" s="224">
        <v>0</v>
      </c>
      <c r="P35" s="235">
        <v>0</v>
      </c>
      <c r="Q35" s="258">
        <f t="shared" si="1"/>
        <v>0</v>
      </c>
      <c r="R35" s="236">
        <v>0</v>
      </c>
      <c r="S35" s="227">
        <f t="shared" si="3"/>
        <v>0</v>
      </c>
      <c r="U35" s="245"/>
      <c r="V35" s="246">
        <v>0</v>
      </c>
      <c r="W35" s="247">
        <v>0</v>
      </c>
      <c r="X35" s="248">
        <f t="shared" ref="X35" si="7">V35+X34-W35</f>
        <v>0</v>
      </c>
      <c r="Y35" s="249">
        <v>0</v>
      </c>
      <c r="Z35" s="250">
        <v>0</v>
      </c>
    </row>
    <row r="36" spans="3:26" ht="15" thickBot="1" x14ac:dyDescent="0.35">
      <c r="C36" s="347" t="s">
        <v>227</v>
      </c>
      <c r="D36" s="348"/>
      <c r="E36" s="348"/>
      <c r="F36" s="348"/>
      <c r="G36" s="348"/>
      <c r="H36" s="349"/>
      <c r="I36" s="229">
        <f>SUM(I13:I35)</f>
        <v>36389.61</v>
      </c>
      <c r="J36" s="182"/>
      <c r="L36" s="347" t="s">
        <v>247</v>
      </c>
      <c r="M36" s="348"/>
      <c r="N36" s="348"/>
      <c r="O36" s="348"/>
      <c r="P36" s="348"/>
      <c r="Q36" s="349"/>
      <c r="R36" s="229">
        <f>SUM(R13:R35)</f>
        <v>34100</v>
      </c>
      <c r="S36" s="238"/>
      <c r="V36" s="182"/>
      <c r="W36" s="182"/>
      <c r="X36" s="251"/>
      <c r="Y36" s="182"/>
      <c r="Z36" s="182"/>
    </row>
    <row r="37" spans="3:26" ht="15" thickBot="1" x14ac:dyDescent="0.35">
      <c r="C37" s="230"/>
      <c r="D37" s="230"/>
      <c r="E37" s="230"/>
      <c r="F37" s="230"/>
      <c r="G37" s="230"/>
      <c r="H37" s="230"/>
      <c r="I37" s="213"/>
      <c r="J37" s="231"/>
      <c r="L37" s="230"/>
      <c r="M37" s="230"/>
      <c r="N37" s="230"/>
      <c r="O37" s="230"/>
      <c r="P37" s="230"/>
      <c r="Q37" s="230"/>
      <c r="R37" s="213"/>
      <c r="S37" s="231"/>
      <c r="U37" s="339" t="s">
        <v>252</v>
      </c>
      <c r="V37" s="339"/>
      <c r="W37" s="339"/>
      <c r="X37" s="182"/>
      <c r="Y37" s="340">
        <v>1080</v>
      </c>
      <c r="Z37" s="341"/>
    </row>
    <row r="38" spans="3:26" ht="15" thickBot="1" x14ac:dyDescent="0.35">
      <c r="C38" s="344" t="s">
        <v>243</v>
      </c>
      <c r="D38" s="344"/>
      <c r="E38" s="344"/>
      <c r="F38" s="344"/>
      <c r="G38" s="344"/>
      <c r="H38" s="344"/>
      <c r="I38" s="344"/>
      <c r="J38" s="344"/>
      <c r="L38" s="344"/>
      <c r="M38" s="344"/>
      <c r="N38" s="344"/>
      <c r="O38" s="344"/>
      <c r="P38" s="344"/>
      <c r="Q38" s="344"/>
      <c r="R38" s="344"/>
      <c r="S38" s="344"/>
      <c r="U38" s="339" t="s">
        <v>253</v>
      </c>
      <c r="V38" s="339"/>
      <c r="W38" s="339"/>
      <c r="X38" s="213"/>
      <c r="Y38" s="342">
        <f>+Y33</f>
        <v>1.4464996048913117</v>
      </c>
      <c r="Z38" s="343"/>
    </row>
    <row r="39" spans="3:26" x14ac:dyDescent="0.3">
      <c r="C39" s="344"/>
      <c r="D39" s="344"/>
      <c r="E39" s="344"/>
      <c r="F39" s="344"/>
      <c r="G39" s="344"/>
      <c r="H39" s="344"/>
      <c r="I39" s="344"/>
      <c r="J39" s="344"/>
      <c r="L39" s="344"/>
      <c r="M39" s="344"/>
      <c r="N39" s="344"/>
      <c r="O39" s="344"/>
      <c r="P39" s="344"/>
      <c r="Q39" s="344"/>
      <c r="R39" s="344"/>
      <c r="S39" s="344"/>
      <c r="U39" s="230"/>
      <c r="V39" s="230"/>
      <c r="W39" s="230"/>
      <c r="X39" s="213"/>
      <c r="Y39" s="231"/>
      <c r="Z39" s="230"/>
    </row>
    <row r="40" spans="3:26" x14ac:dyDescent="0.3">
      <c r="C40" s="344"/>
      <c r="D40" s="344"/>
      <c r="E40" s="344"/>
      <c r="F40" s="344"/>
      <c r="G40" s="344"/>
      <c r="H40" s="344"/>
      <c r="I40" s="344"/>
      <c r="J40" s="344"/>
      <c r="L40" s="344"/>
      <c r="M40" s="344"/>
      <c r="N40" s="344"/>
      <c r="O40" s="344"/>
      <c r="P40" s="344"/>
      <c r="Q40" s="344"/>
      <c r="R40" s="344"/>
      <c r="S40" s="344"/>
      <c r="U40" s="344"/>
      <c r="V40" s="344"/>
      <c r="W40" s="344"/>
      <c r="X40" s="344"/>
      <c r="Y40" s="344"/>
      <c r="Z40" s="344"/>
    </row>
    <row r="41" spans="3:26" x14ac:dyDescent="0.3">
      <c r="C41" s="232"/>
      <c r="D41" s="232"/>
      <c r="E41" s="232"/>
      <c r="F41" s="232"/>
      <c r="G41" s="232"/>
      <c r="H41" s="232"/>
      <c r="I41" s="232"/>
      <c r="J41" s="232"/>
      <c r="L41" s="232"/>
      <c r="M41" s="232"/>
      <c r="N41" s="232"/>
      <c r="O41" s="232"/>
      <c r="P41" s="232"/>
      <c r="Q41" s="232"/>
      <c r="R41" s="232"/>
      <c r="S41" s="232"/>
      <c r="U41" s="252"/>
      <c r="V41" s="252"/>
      <c r="W41" s="252"/>
      <c r="X41" s="252"/>
      <c r="Y41" s="252"/>
      <c r="Z41" s="252"/>
    </row>
    <row r="42" spans="3:26" x14ac:dyDescent="0.3">
      <c r="C42" s="233" t="s">
        <v>279</v>
      </c>
      <c r="D42" s="233"/>
      <c r="E42" s="234"/>
      <c r="F42" s="234"/>
      <c r="G42" s="234"/>
      <c r="H42" s="234"/>
      <c r="I42" s="261"/>
      <c r="J42" s="262"/>
      <c r="L42" s="233"/>
      <c r="M42" s="233"/>
      <c r="N42" s="234"/>
      <c r="O42" s="234"/>
      <c r="P42" s="234"/>
      <c r="Q42" s="234"/>
      <c r="R42" s="261"/>
      <c r="S42" s="262"/>
      <c r="U42" s="233"/>
      <c r="V42" s="252"/>
      <c r="W42" s="252"/>
      <c r="X42" s="345"/>
      <c r="Y42" s="345"/>
      <c r="Z42" s="252"/>
    </row>
    <row r="43" spans="3:26" x14ac:dyDescent="0.3">
      <c r="C43" s="351"/>
      <c r="D43" s="351"/>
      <c r="E43" s="202"/>
      <c r="F43" s="202"/>
      <c r="G43" s="202"/>
      <c r="H43" s="202"/>
      <c r="I43"/>
      <c r="L43" s="350"/>
      <c r="M43" s="350"/>
      <c r="N43" s="202"/>
      <c r="O43" s="202"/>
      <c r="P43" s="202"/>
      <c r="Q43" s="202"/>
      <c r="R43"/>
      <c r="U43" s="346"/>
      <c r="V43" s="346"/>
      <c r="W43" s="232"/>
      <c r="X43" s="346"/>
      <c r="Y43" s="346"/>
      <c r="Z43" s="232"/>
    </row>
    <row r="44" spans="3:26" x14ac:dyDescent="0.3">
      <c r="C44" s="326"/>
      <c r="D44" s="326"/>
      <c r="E44" s="202"/>
      <c r="F44" s="202"/>
      <c r="G44" s="202"/>
      <c r="H44" s="202"/>
      <c r="I44"/>
      <c r="L44" s="326"/>
      <c r="M44" s="326"/>
      <c r="N44" s="202"/>
      <c r="O44" s="202"/>
      <c r="P44" s="202"/>
      <c r="Q44" s="202"/>
      <c r="R44"/>
      <c r="V44" s="233"/>
      <c r="W44" s="233"/>
      <c r="X44" s="261"/>
      <c r="Y44" s="345"/>
      <c r="Z44" s="345"/>
    </row>
    <row r="45" spans="3:26" x14ac:dyDescent="0.3">
      <c r="E45" s="202"/>
      <c r="F45" s="202"/>
      <c r="G45" s="202"/>
      <c r="H45" s="202"/>
      <c r="I45"/>
      <c r="N45" s="202"/>
      <c r="O45" s="202"/>
      <c r="P45" s="202"/>
      <c r="Q45" s="202"/>
      <c r="R45"/>
      <c r="X45"/>
    </row>
    <row r="46" spans="3:26" x14ac:dyDescent="0.3">
      <c r="C46" s="233" t="s">
        <v>244</v>
      </c>
      <c r="D46" s="233"/>
      <c r="E46" s="234"/>
      <c r="F46" s="234"/>
      <c r="G46" s="234"/>
      <c r="H46" s="234"/>
      <c r="L46" s="233"/>
      <c r="M46" s="233"/>
      <c r="N46" s="234"/>
      <c r="O46" s="234"/>
      <c r="P46" s="234"/>
      <c r="Q46" s="234"/>
      <c r="U46" s="326"/>
      <c r="V46" s="326"/>
      <c r="W46" s="202"/>
      <c r="X46"/>
      <c r="Z46" s="263"/>
    </row>
    <row r="47" spans="3:26" x14ac:dyDescent="0.3">
      <c r="C47" s="257"/>
      <c r="D47" s="257"/>
      <c r="E47" s="202"/>
      <c r="F47" s="202"/>
      <c r="G47" s="202"/>
      <c r="H47" s="202"/>
      <c r="N47" s="202"/>
      <c r="O47" s="202"/>
      <c r="P47" s="202"/>
      <c r="Q47" s="202"/>
      <c r="W47" s="202"/>
      <c r="X47"/>
    </row>
    <row r="48" spans="3:26" x14ac:dyDescent="0.3">
      <c r="C48" s="326"/>
      <c r="D48" s="326"/>
      <c r="E48" s="202"/>
      <c r="F48" s="202"/>
      <c r="G48" s="202"/>
      <c r="H48" s="202"/>
      <c r="L48" s="326"/>
      <c r="M48" s="326"/>
      <c r="N48" s="202"/>
      <c r="O48" s="202"/>
      <c r="P48" s="202"/>
      <c r="Q48" s="202"/>
      <c r="W48" s="234"/>
    </row>
    <row r="49" spans="5:23" x14ac:dyDescent="0.3">
      <c r="E49" s="202"/>
      <c r="F49" s="202"/>
      <c r="G49" s="202"/>
      <c r="H49" s="202"/>
      <c r="N49" s="202"/>
      <c r="O49" s="202"/>
      <c r="P49" s="202"/>
      <c r="Q49" s="202"/>
      <c r="W49" s="202"/>
    </row>
    <row r="50" spans="5:23" x14ac:dyDescent="0.3">
      <c r="E50" s="202"/>
      <c r="F50" s="202"/>
      <c r="G50" s="202"/>
      <c r="H50" s="202"/>
      <c r="N50" s="202"/>
      <c r="O50" s="202"/>
      <c r="P50" s="202"/>
      <c r="Q50" s="202"/>
      <c r="U50" s="326"/>
      <c r="V50" s="326"/>
      <c r="W50" s="202"/>
    </row>
    <row r="51" spans="5:23" x14ac:dyDescent="0.3">
      <c r="W51" s="202"/>
    </row>
    <row r="52" spans="5:23" x14ac:dyDescent="0.3">
      <c r="W52" s="202"/>
    </row>
  </sheetData>
  <mergeCells count="37">
    <mergeCell ref="C10:J10"/>
    <mergeCell ref="M2:N2"/>
    <mergeCell ref="L7:S7"/>
    <mergeCell ref="M8:M9"/>
    <mergeCell ref="D2:E2"/>
    <mergeCell ref="C7:J7"/>
    <mergeCell ref="D8:D9"/>
    <mergeCell ref="E8:E9"/>
    <mergeCell ref="C36:H36"/>
    <mergeCell ref="C38:J40"/>
    <mergeCell ref="C43:D43"/>
    <mergeCell ref="C44:D44"/>
    <mergeCell ref="C48:D48"/>
    <mergeCell ref="X43:Y43"/>
    <mergeCell ref="Y44:Z44"/>
    <mergeCell ref="N8:N9"/>
    <mergeCell ref="L10:S10"/>
    <mergeCell ref="L36:Q36"/>
    <mergeCell ref="L38:S40"/>
    <mergeCell ref="L43:M43"/>
    <mergeCell ref="V8:V9"/>
    <mergeCell ref="U46:V46"/>
    <mergeCell ref="U50:V50"/>
    <mergeCell ref="L44:M44"/>
    <mergeCell ref="L48:M48"/>
    <mergeCell ref="V2:W2"/>
    <mergeCell ref="W4:X4"/>
    <mergeCell ref="U7:Z7"/>
    <mergeCell ref="W8:W9"/>
    <mergeCell ref="U10:Z10"/>
    <mergeCell ref="U37:W37"/>
    <mergeCell ref="Y37:Z37"/>
    <mergeCell ref="U38:W38"/>
    <mergeCell ref="Y38:Z38"/>
    <mergeCell ref="U40:Z40"/>
    <mergeCell ref="X42:Y42"/>
    <mergeCell ref="U43:V4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53D3-CB71-4098-9354-B3DDE824F3E0}">
  <dimension ref="A1:H52"/>
  <sheetViews>
    <sheetView showGridLines="0" zoomScale="78" zoomScaleNormal="78" workbookViewId="0">
      <selection activeCell="A7" sqref="A7:G15"/>
    </sheetView>
  </sheetViews>
  <sheetFormatPr baseColWidth="10" defaultRowHeight="13.8" x14ac:dyDescent="0.25"/>
  <cols>
    <col min="1" max="1" width="13" style="152" customWidth="1"/>
    <col min="2" max="2" width="18.109375" style="174" customWidth="1"/>
    <col min="3" max="3" width="67.6640625" style="175" customWidth="1"/>
    <col min="4" max="5" width="16.88671875" style="187" customWidth="1"/>
    <col min="6" max="7" width="17" style="187" customWidth="1"/>
    <col min="8" max="8" width="17" style="188" customWidth="1"/>
    <col min="9" max="208" width="11.44140625" style="66"/>
    <col min="209" max="209" width="13" style="66" customWidth="1"/>
    <col min="210" max="210" width="18.109375" style="66" customWidth="1"/>
    <col min="211" max="211" width="67.6640625" style="66" customWidth="1"/>
    <col min="212" max="212" width="18" style="66" customWidth="1"/>
    <col min="213" max="213" width="15.33203125" style="66" customWidth="1"/>
    <col min="214" max="216" width="17" style="66" customWidth="1"/>
    <col min="217" max="464" width="11.44140625" style="66"/>
    <col min="465" max="465" width="13" style="66" customWidth="1"/>
    <col min="466" max="466" width="18.109375" style="66" customWidth="1"/>
    <col min="467" max="467" width="67.6640625" style="66" customWidth="1"/>
    <col min="468" max="468" width="18" style="66" customWidth="1"/>
    <col min="469" max="469" width="15.33203125" style="66" customWidth="1"/>
    <col min="470" max="472" width="17" style="66" customWidth="1"/>
    <col min="473" max="720" width="11.44140625" style="66"/>
    <col min="721" max="721" width="13" style="66" customWidth="1"/>
    <col min="722" max="722" width="18.109375" style="66" customWidth="1"/>
    <col min="723" max="723" width="67.6640625" style="66" customWidth="1"/>
    <col min="724" max="724" width="18" style="66" customWidth="1"/>
    <col min="725" max="725" width="15.33203125" style="66" customWidth="1"/>
    <col min="726" max="728" width="17" style="66" customWidth="1"/>
    <col min="729" max="976" width="11.44140625" style="66"/>
    <col min="977" max="977" width="13" style="66" customWidth="1"/>
    <col min="978" max="978" width="18.109375" style="66" customWidth="1"/>
    <col min="979" max="979" width="67.6640625" style="66" customWidth="1"/>
    <col min="980" max="980" width="18" style="66" customWidth="1"/>
    <col min="981" max="981" width="15.33203125" style="66" customWidth="1"/>
    <col min="982" max="984" width="17" style="66" customWidth="1"/>
    <col min="985" max="1232" width="11.44140625" style="66"/>
    <col min="1233" max="1233" width="13" style="66" customWidth="1"/>
    <col min="1234" max="1234" width="18.109375" style="66" customWidth="1"/>
    <col min="1235" max="1235" width="67.6640625" style="66" customWidth="1"/>
    <col min="1236" max="1236" width="18" style="66" customWidth="1"/>
    <col min="1237" max="1237" width="15.33203125" style="66" customWidth="1"/>
    <col min="1238" max="1240" width="17" style="66" customWidth="1"/>
    <col min="1241" max="1488" width="11.44140625" style="66"/>
    <col min="1489" max="1489" width="13" style="66" customWidth="1"/>
    <col min="1490" max="1490" width="18.109375" style="66" customWidth="1"/>
    <col min="1491" max="1491" width="67.6640625" style="66" customWidth="1"/>
    <col min="1492" max="1492" width="18" style="66" customWidth="1"/>
    <col min="1493" max="1493" width="15.33203125" style="66" customWidth="1"/>
    <col min="1494" max="1496" width="17" style="66" customWidth="1"/>
    <col min="1497" max="1744" width="11.44140625" style="66"/>
    <col min="1745" max="1745" width="13" style="66" customWidth="1"/>
    <col min="1746" max="1746" width="18.109375" style="66" customWidth="1"/>
    <col min="1747" max="1747" width="67.6640625" style="66" customWidth="1"/>
    <col min="1748" max="1748" width="18" style="66" customWidth="1"/>
    <col min="1749" max="1749" width="15.33203125" style="66" customWidth="1"/>
    <col min="1750" max="1752" width="17" style="66" customWidth="1"/>
    <col min="1753" max="2000" width="11.44140625" style="66"/>
    <col min="2001" max="2001" width="13" style="66" customWidth="1"/>
    <col min="2002" max="2002" width="18.109375" style="66" customWidth="1"/>
    <col min="2003" max="2003" width="67.6640625" style="66" customWidth="1"/>
    <col min="2004" max="2004" width="18" style="66" customWidth="1"/>
    <col min="2005" max="2005" width="15.33203125" style="66" customWidth="1"/>
    <col min="2006" max="2008" width="17" style="66" customWidth="1"/>
    <col min="2009" max="2256" width="11.44140625" style="66"/>
    <col min="2257" max="2257" width="13" style="66" customWidth="1"/>
    <col min="2258" max="2258" width="18.109375" style="66" customWidth="1"/>
    <col min="2259" max="2259" width="67.6640625" style="66" customWidth="1"/>
    <col min="2260" max="2260" width="18" style="66" customWidth="1"/>
    <col min="2261" max="2261" width="15.33203125" style="66" customWidth="1"/>
    <col min="2262" max="2264" width="17" style="66" customWidth="1"/>
    <col min="2265" max="2512" width="11.44140625" style="66"/>
    <col min="2513" max="2513" width="13" style="66" customWidth="1"/>
    <col min="2514" max="2514" width="18.109375" style="66" customWidth="1"/>
    <col min="2515" max="2515" width="67.6640625" style="66" customWidth="1"/>
    <col min="2516" max="2516" width="18" style="66" customWidth="1"/>
    <col min="2517" max="2517" width="15.33203125" style="66" customWidth="1"/>
    <col min="2518" max="2520" width="17" style="66" customWidth="1"/>
    <col min="2521" max="2768" width="11.44140625" style="66"/>
    <col min="2769" max="2769" width="13" style="66" customWidth="1"/>
    <col min="2770" max="2770" width="18.109375" style="66" customWidth="1"/>
    <col min="2771" max="2771" width="67.6640625" style="66" customWidth="1"/>
    <col min="2772" max="2772" width="18" style="66" customWidth="1"/>
    <col min="2773" max="2773" width="15.33203125" style="66" customWidth="1"/>
    <col min="2774" max="2776" width="17" style="66" customWidth="1"/>
    <col min="2777" max="3024" width="11.44140625" style="66"/>
    <col min="3025" max="3025" width="13" style="66" customWidth="1"/>
    <col min="3026" max="3026" width="18.109375" style="66" customWidth="1"/>
    <col min="3027" max="3027" width="67.6640625" style="66" customWidth="1"/>
    <col min="3028" max="3028" width="18" style="66" customWidth="1"/>
    <col min="3029" max="3029" width="15.33203125" style="66" customWidth="1"/>
    <col min="3030" max="3032" width="17" style="66" customWidth="1"/>
    <col min="3033" max="3280" width="11.44140625" style="66"/>
    <col min="3281" max="3281" width="13" style="66" customWidth="1"/>
    <col min="3282" max="3282" width="18.109375" style="66" customWidth="1"/>
    <col min="3283" max="3283" width="67.6640625" style="66" customWidth="1"/>
    <col min="3284" max="3284" width="18" style="66" customWidth="1"/>
    <col min="3285" max="3285" width="15.33203125" style="66" customWidth="1"/>
    <col min="3286" max="3288" width="17" style="66" customWidth="1"/>
    <col min="3289" max="3536" width="11.44140625" style="66"/>
    <col min="3537" max="3537" width="13" style="66" customWidth="1"/>
    <col min="3538" max="3538" width="18.109375" style="66" customWidth="1"/>
    <col min="3539" max="3539" width="67.6640625" style="66" customWidth="1"/>
    <col min="3540" max="3540" width="18" style="66" customWidth="1"/>
    <col min="3541" max="3541" width="15.33203125" style="66" customWidth="1"/>
    <col min="3542" max="3544" width="17" style="66" customWidth="1"/>
    <col min="3545" max="3792" width="11.44140625" style="66"/>
    <col min="3793" max="3793" width="13" style="66" customWidth="1"/>
    <col min="3794" max="3794" width="18.109375" style="66" customWidth="1"/>
    <col min="3795" max="3795" width="67.6640625" style="66" customWidth="1"/>
    <col min="3796" max="3796" width="18" style="66" customWidth="1"/>
    <col min="3797" max="3797" width="15.33203125" style="66" customWidth="1"/>
    <col min="3798" max="3800" width="17" style="66" customWidth="1"/>
    <col min="3801" max="4048" width="11.44140625" style="66"/>
    <col min="4049" max="4049" width="13" style="66" customWidth="1"/>
    <col min="4050" max="4050" width="18.109375" style="66" customWidth="1"/>
    <col min="4051" max="4051" width="67.6640625" style="66" customWidth="1"/>
    <col min="4052" max="4052" width="18" style="66" customWidth="1"/>
    <col min="4053" max="4053" width="15.33203125" style="66" customWidth="1"/>
    <col min="4054" max="4056" width="17" style="66" customWidth="1"/>
    <col min="4057" max="4304" width="11.44140625" style="66"/>
    <col min="4305" max="4305" width="13" style="66" customWidth="1"/>
    <col min="4306" max="4306" width="18.109375" style="66" customWidth="1"/>
    <col min="4307" max="4307" width="67.6640625" style="66" customWidth="1"/>
    <col min="4308" max="4308" width="18" style="66" customWidth="1"/>
    <col min="4309" max="4309" width="15.33203125" style="66" customWidth="1"/>
    <col min="4310" max="4312" width="17" style="66" customWidth="1"/>
    <col min="4313" max="4560" width="11.44140625" style="66"/>
    <col min="4561" max="4561" width="13" style="66" customWidth="1"/>
    <col min="4562" max="4562" width="18.109375" style="66" customWidth="1"/>
    <col min="4563" max="4563" width="67.6640625" style="66" customWidth="1"/>
    <col min="4564" max="4564" width="18" style="66" customWidth="1"/>
    <col min="4565" max="4565" width="15.33203125" style="66" customWidth="1"/>
    <col min="4566" max="4568" width="17" style="66" customWidth="1"/>
    <col min="4569" max="4816" width="11.44140625" style="66"/>
    <col min="4817" max="4817" width="13" style="66" customWidth="1"/>
    <col min="4818" max="4818" width="18.109375" style="66" customWidth="1"/>
    <col min="4819" max="4819" width="67.6640625" style="66" customWidth="1"/>
    <col min="4820" max="4820" width="18" style="66" customWidth="1"/>
    <col min="4821" max="4821" width="15.33203125" style="66" customWidth="1"/>
    <col min="4822" max="4824" width="17" style="66" customWidth="1"/>
    <col min="4825" max="5072" width="11.44140625" style="66"/>
    <col min="5073" max="5073" width="13" style="66" customWidth="1"/>
    <col min="5074" max="5074" width="18.109375" style="66" customWidth="1"/>
    <col min="5075" max="5075" width="67.6640625" style="66" customWidth="1"/>
    <col min="5076" max="5076" width="18" style="66" customWidth="1"/>
    <col min="5077" max="5077" width="15.33203125" style="66" customWidth="1"/>
    <col min="5078" max="5080" width="17" style="66" customWidth="1"/>
    <col min="5081" max="5328" width="11.44140625" style="66"/>
    <col min="5329" max="5329" width="13" style="66" customWidth="1"/>
    <col min="5330" max="5330" width="18.109375" style="66" customWidth="1"/>
    <col min="5331" max="5331" width="67.6640625" style="66" customWidth="1"/>
    <col min="5332" max="5332" width="18" style="66" customWidth="1"/>
    <col min="5333" max="5333" width="15.33203125" style="66" customWidth="1"/>
    <col min="5334" max="5336" width="17" style="66" customWidth="1"/>
    <col min="5337" max="5584" width="11.44140625" style="66"/>
    <col min="5585" max="5585" width="13" style="66" customWidth="1"/>
    <col min="5586" max="5586" width="18.109375" style="66" customWidth="1"/>
    <col min="5587" max="5587" width="67.6640625" style="66" customWidth="1"/>
    <col min="5588" max="5588" width="18" style="66" customWidth="1"/>
    <col min="5589" max="5589" width="15.33203125" style="66" customWidth="1"/>
    <col min="5590" max="5592" width="17" style="66" customWidth="1"/>
    <col min="5593" max="5840" width="11.44140625" style="66"/>
    <col min="5841" max="5841" width="13" style="66" customWidth="1"/>
    <col min="5842" max="5842" width="18.109375" style="66" customWidth="1"/>
    <col min="5843" max="5843" width="67.6640625" style="66" customWidth="1"/>
    <col min="5844" max="5844" width="18" style="66" customWidth="1"/>
    <col min="5845" max="5845" width="15.33203125" style="66" customWidth="1"/>
    <col min="5846" max="5848" width="17" style="66" customWidth="1"/>
    <col min="5849" max="6096" width="11.44140625" style="66"/>
    <col min="6097" max="6097" width="13" style="66" customWidth="1"/>
    <col min="6098" max="6098" width="18.109375" style="66" customWidth="1"/>
    <col min="6099" max="6099" width="67.6640625" style="66" customWidth="1"/>
    <col min="6100" max="6100" width="18" style="66" customWidth="1"/>
    <col min="6101" max="6101" width="15.33203125" style="66" customWidth="1"/>
    <col min="6102" max="6104" width="17" style="66" customWidth="1"/>
    <col min="6105" max="6352" width="11.44140625" style="66"/>
    <col min="6353" max="6353" width="13" style="66" customWidth="1"/>
    <col min="6354" max="6354" width="18.109375" style="66" customWidth="1"/>
    <col min="6355" max="6355" width="67.6640625" style="66" customWidth="1"/>
    <col min="6356" max="6356" width="18" style="66" customWidth="1"/>
    <col min="6357" max="6357" width="15.33203125" style="66" customWidth="1"/>
    <col min="6358" max="6360" width="17" style="66" customWidth="1"/>
    <col min="6361" max="6608" width="11.44140625" style="66"/>
    <col min="6609" max="6609" width="13" style="66" customWidth="1"/>
    <col min="6610" max="6610" width="18.109375" style="66" customWidth="1"/>
    <col min="6611" max="6611" width="67.6640625" style="66" customWidth="1"/>
    <col min="6612" max="6612" width="18" style="66" customWidth="1"/>
    <col min="6613" max="6613" width="15.33203125" style="66" customWidth="1"/>
    <col min="6614" max="6616" width="17" style="66" customWidth="1"/>
    <col min="6617" max="6864" width="11.44140625" style="66"/>
    <col min="6865" max="6865" width="13" style="66" customWidth="1"/>
    <col min="6866" max="6866" width="18.109375" style="66" customWidth="1"/>
    <col min="6867" max="6867" width="67.6640625" style="66" customWidth="1"/>
    <col min="6868" max="6868" width="18" style="66" customWidth="1"/>
    <col min="6869" max="6869" width="15.33203125" style="66" customWidth="1"/>
    <col min="6870" max="6872" width="17" style="66" customWidth="1"/>
    <col min="6873" max="7120" width="11.44140625" style="66"/>
    <col min="7121" max="7121" width="13" style="66" customWidth="1"/>
    <col min="7122" max="7122" width="18.109375" style="66" customWidth="1"/>
    <col min="7123" max="7123" width="67.6640625" style="66" customWidth="1"/>
    <col min="7124" max="7124" width="18" style="66" customWidth="1"/>
    <col min="7125" max="7125" width="15.33203125" style="66" customWidth="1"/>
    <col min="7126" max="7128" width="17" style="66" customWidth="1"/>
    <col min="7129" max="7376" width="11.44140625" style="66"/>
    <col min="7377" max="7377" width="13" style="66" customWidth="1"/>
    <col min="7378" max="7378" width="18.109375" style="66" customWidth="1"/>
    <col min="7379" max="7379" width="67.6640625" style="66" customWidth="1"/>
    <col min="7380" max="7380" width="18" style="66" customWidth="1"/>
    <col min="7381" max="7381" width="15.33203125" style="66" customWidth="1"/>
    <col min="7382" max="7384" width="17" style="66" customWidth="1"/>
    <col min="7385" max="7632" width="11.44140625" style="66"/>
    <col min="7633" max="7633" width="13" style="66" customWidth="1"/>
    <col min="7634" max="7634" width="18.109375" style="66" customWidth="1"/>
    <col min="7635" max="7635" width="67.6640625" style="66" customWidth="1"/>
    <col min="7636" max="7636" width="18" style="66" customWidth="1"/>
    <col min="7637" max="7637" width="15.33203125" style="66" customWidth="1"/>
    <col min="7638" max="7640" width="17" style="66" customWidth="1"/>
    <col min="7641" max="7888" width="11.44140625" style="66"/>
    <col min="7889" max="7889" width="13" style="66" customWidth="1"/>
    <col min="7890" max="7890" width="18.109375" style="66" customWidth="1"/>
    <col min="7891" max="7891" width="67.6640625" style="66" customWidth="1"/>
    <col min="7892" max="7892" width="18" style="66" customWidth="1"/>
    <col min="7893" max="7893" width="15.33203125" style="66" customWidth="1"/>
    <col min="7894" max="7896" width="17" style="66" customWidth="1"/>
    <col min="7897" max="8144" width="11.44140625" style="66"/>
    <col min="8145" max="8145" width="13" style="66" customWidth="1"/>
    <col min="8146" max="8146" width="18.109375" style="66" customWidth="1"/>
    <col min="8147" max="8147" width="67.6640625" style="66" customWidth="1"/>
    <col min="8148" max="8148" width="18" style="66" customWidth="1"/>
    <col min="8149" max="8149" width="15.33203125" style="66" customWidth="1"/>
    <col min="8150" max="8152" width="17" style="66" customWidth="1"/>
    <col min="8153" max="8400" width="11.44140625" style="66"/>
    <col min="8401" max="8401" width="13" style="66" customWidth="1"/>
    <col min="8402" max="8402" width="18.109375" style="66" customWidth="1"/>
    <col min="8403" max="8403" width="67.6640625" style="66" customWidth="1"/>
    <col min="8404" max="8404" width="18" style="66" customWidth="1"/>
    <col min="8405" max="8405" width="15.33203125" style="66" customWidth="1"/>
    <col min="8406" max="8408" width="17" style="66" customWidth="1"/>
    <col min="8409" max="8656" width="11.44140625" style="66"/>
    <col min="8657" max="8657" width="13" style="66" customWidth="1"/>
    <col min="8658" max="8658" width="18.109375" style="66" customWidth="1"/>
    <col min="8659" max="8659" width="67.6640625" style="66" customWidth="1"/>
    <col min="8660" max="8660" width="18" style="66" customWidth="1"/>
    <col min="8661" max="8661" width="15.33203125" style="66" customWidth="1"/>
    <col min="8662" max="8664" width="17" style="66" customWidth="1"/>
    <col min="8665" max="8912" width="11.44140625" style="66"/>
    <col min="8913" max="8913" width="13" style="66" customWidth="1"/>
    <col min="8914" max="8914" width="18.109375" style="66" customWidth="1"/>
    <col min="8915" max="8915" width="67.6640625" style="66" customWidth="1"/>
    <col min="8916" max="8916" width="18" style="66" customWidth="1"/>
    <col min="8917" max="8917" width="15.33203125" style="66" customWidth="1"/>
    <col min="8918" max="8920" width="17" style="66" customWidth="1"/>
    <col min="8921" max="9168" width="11.44140625" style="66"/>
    <col min="9169" max="9169" width="13" style="66" customWidth="1"/>
    <col min="9170" max="9170" width="18.109375" style="66" customWidth="1"/>
    <col min="9171" max="9171" width="67.6640625" style="66" customWidth="1"/>
    <col min="9172" max="9172" width="18" style="66" customWidth="1"/>
    <col min="9173" max="9173" width="15.33203125" style="66" customWidth="1"/>
    <col min="9174" max="9176" width="17" style="66" customWidth="1"/>
    <col min="9177" max="9424" width="11.44140625" style="66"/>
    <col min="9425" max="9425" width="13" style="66" customWidth="1"/>
    <col min="9426" max="9426" width="18.109375" style="66" customWidth="1"/>
    <col min="9427" max="9427" width="67.6640625" style="66" customWidth="1"/>
    <col min="9428" max="9428" width="18" style="66" customWidth="1"/>
    <col min="9429" max="9429" width="15.33203125" style="66" customWidth="1"/>
    <col min="9430" max="9432" width="17" style="66" customWidth="1"/>
    <col min="9433" max="9680" width="11.44140625" style="66"/>
    <col min="9681" max="9681" width="13" style="66" customWidth="1"/>
    <col min="9682" max="9682" width="18.109375" style="66" customWidth="1"/>
    <col min="9683" max="9683" width="67.6640625" style="66" customWidth="1"/>
    <col min="9684" max="9684" width="18" style="66" customWidth="1"/>
    <col min="9685" max="9685" width="15.33203125" style="66" customWidth="1"/>
    <col min="9686" max="9688" width="17" style="66" customWidth="1"/>
    <col min="9689" max="9936" width="11.44140625" style="66"/>
    <col min="9937" max="9937" width="13" style="66" customWidth="1"/>
    <col min="9938" max="9938" width="18.109375" style="66" customWidth="1"/>
    <col min="9939" max="9939" width="67.6640625" style="66" customWidth="1"/>
    <col min="9940" max="9940" width="18" style="66" customWidth="1"/>
    <col min="9941" max="9941" width="15.33203125" style="66" customWidth="1"/>
    <col min="9942" max="9944" width="17" style="66" customWidth="1"/>
    <col min="9945" max="10192" width="11.44140625" style="66"/>
    <col min="10193" max="10193" width="13" style="66" customWidth="1"/>
    <col min="10194" max="10194" width="18.109375" style="66" customWidth="1"/>
    <col min="10195" max="10195" width="67.6640625" style="66" customWidth="1"/>
    <col min="10196" max="10196" width="18" style="66" customWidth="1"/>
    <col min="10197" max="10197" width="15.33203125" style="66" customWidth="1"/>
    <col min="10198" max="10200" width="17" style="66" customWidth="1"/>
    <col min="10201" max="10448" width="11.44140625" style="66"/>
    <col min="10449" max="10449" width="13" style="66" customWidth="1"/>
    <col min="10450" max="10450" width="18.109375" style="66" customWidth="1"/>
    <col min="10451" max="10451" width="67.6640625" style="66" customWidth="1"/>
    <col min="10452" max="10452" width="18" style="66" customWidth="1"/>
    <col min="10453" max="10453" width="15.33203125" style="66" customWidth="1"/>
    <col min="10454" max="10456" width="17" style="66" customWidth="1"/>
    <col min="10457" max="10704" width="11.44140625" style="66"/>
    <col min="10705" max="10705" width="13" style="66" customWidth="1"/>
    <col min="10706" max="10706" width="18.109375" style="66" customWidth="1"/>
    <col min="10707" max="10707" width="67.6640625" style="66" customWidth="1"/>
    <col min="10708" max="10708" width="18" style="66" customWidth="1"/>
    <col min="10709" max="10709" width="15.33203125" style="66" customWidth="1"/>
    <col min="10710" max="10712" width="17" style="66" customWidth="1"/>
    <col min="10713" max="10960" width="11.44140625" style="66"/>
    <col min="10961" max="10961" width="13" style="66" customWidth="1"/>
    <col min="10962" max="10962" width="18.109375" style="66" customWidth="1"/>
    <col min="10963" max="10963" width="67.6640625" style="66" customWidth="1"/>
    <col min="10964" max="10964" width="18" style="66" customWidth="1"/>
    <col min="10965" max="10965" width="15.33203125" style="66" customWidth="1"/>
    <col min="10966" max="10968" width="17" style="66" customWidth="1"/>
    <col min="10969" max="11216" width="11.44140625" style="66"/>
    <col min="11217" max="11217" width="13" style="66" customWidth="1"/>
    <col min="11218" max="11218" width="18.109375" style="66" customWidth="1"/>
    <col min="11219" max="11219" width="67.6640625" style="66" customWidth="1"/>
    <col min="11220" max="11220" width="18" style="66" customWidth="1"/>
    <col min="11221" max="11221" width="15.33203125" style="66" customWidth="1"/>
    <col min="11222" max="11224" width="17" style="66" customWidth="1"/>
    <col min="11225" max="11472" width="11.44140625" style="66"/>
    <col min="11473" max="11473" width="13" style="66" customWidth="1"/>
    <col min="11474" max="11474" width="18.109375" style="66" customWidth="1"/>
    <col min="11475" max="11475" width="67.6640625" style="66" customWidth="1"/>
    <col min="11476" max="11476" width="18" style="66" customWidth="1"/>
    <col min="11477" max="11477" width="15.33203125" style="66" customWidth="1"/>
    <col min="11478" max="11480" width="17" style="66" customWidth="1"/>
    <col min="11481" max="11728" width="11.44140625" style="66"/>
    <col min="11729" max="11729" width="13" style="66" customWidth="1"/>
    <col min="11730" max="11730" width="18.109375" style="66" customWidth="1"/>
    <col min="11731" max="11731" width="67.6640625" style="66" customWidth="1"/>
    <col min="11732" max="11732" width="18" style="66" customWidth="1"/>
    <col min="11733" max="11733" width="15.33203125" style="66" customWidth="1"/>
    <col min="11734" max="11736" width="17" style="66" customWidth="1"/>
    <col min="11737" max="11984" width="11.44140625" style="66"/>
    <col min="11985" max="11985" width="13" style="66" customWidth="1"/>
    <col min="11986" max="11986" width="18.109375" style="66" customWidth="1"/>
    <col min="11987" max="11987" width="67.6640625" style="66" customWidth="1"/>
    <col min="11988" max="11988" width="18" style="66" customWidth="1"/>
    <col min="11989" max="11989" width="15.33203125" style="66" customWidth="1"/>
    <col min="11990" max="11992" width="17" style="66" customWidth="1"/>
    <col min="11993" max="12240" width="11.44140625" style="66"/>
    <col min="12241" max="12241" width="13" style="66" customWidth="1"/>
    <col min="12242" max="12242" width="18.109375" style="66" customWidth="1"/>
    <col min="12243" max="12243" width="67.6640625" style="66" customWidth="1"/>
    <col min="12244" max="12244" width="18" style="66" customWidth="1"/>
    <col min="12245" max="12245" width="15.33203125" style="66" customWidth="1"/>
    <col min="12246" max="12248" width="17" style="66" customWidth="1"/>
    <col min="12249" max="12496" width="11.44140625" style="66"/>
    <col min="12497" max="12497" width="13" style="66" customWidth="1"/>
    <col min="12498" max="12498" width="18.109375" style="66" customWidth="1"/>
    <col min="12499" max="12499" width="67.6640625" style="66" customWidth="1"/>
    <col min="12500" max="12500" width="18" style="66" customWidth="1"/>
    <col min="12501" max="12501" width="15.33203125" style="66" customWidth="1"/>
    <col min="12502" max="12504" width="17" style="66" customWidth="1"/>
    <col min="12505" max="12752" width="11.44140625" style="66"/>
    <col min="12753" max="12753" width="13" style="66" customWidth="1"/>
    <col min="12754" max="12754" width="18.109375" style="66" customWidth="1"/>
    <col min="12755" max="12755" width="67.6640625" style="66" customWidth="1"/>
    <col min="12756" max="12756" width="18" style="66" customWidth="1"/>
    <col min="12757" max="12757" width="15.33203125" style="66" customWidth="1"/>
    <col min="12758" max="12760" width="17" style="66" customWidth="1"/>
    <col min="12761" max="13008" width="11.44140625" style="66"/>
    <col min="13009" max="13009" width="13" style="66" customWidth="1"/>
    <col min="13010" max="13010" width="18.109375" style="66" customWidth="1"/>
    <col min="13011" max="13011" width="67.6640625" style="66" customWidth="1"/>
    <col min="13012" max="13012" width="18" style="66" customWidth="1"/>
    <col min="13013" max="13013" width="15.33203125" style="66" customWidth="1"/>
    <col min="13014" max="13016" width="17" style="66" customWidth="1"/>
    <col min="13017" max="13264" width="11.44140625" style="66"/>
    <col min="13265" max="13265" width="13" style="66" customWidth="1"/>
    <col min="13266" max="13266" width="18.109375" style="66" customWidth="1"/>
    <col min="13267" max="13267" width="67.6640625" style="66" customWidth="1"/>
    <col min="13268" max="13268" width="18" style="66" customWidth="1"/>
    <col min="13269" max="13269" width="15.33203125" style="66" customWidth="1"/>
    <col min="13270" max="13272" width="17" style="66" customWidth="1"/>
    <col min="13273" max="13520" width="11.44140625" style="66"/>
    <col min="13521" max="13521" width="13" style="66" customWidth="1"/>
    <col min="13522" max="13522" width="18.109375" style="66" customWidth="1"/>
    <col min="13523" max="13523" width="67.6640625" style="66" customWidth="1"/>
    <col min="13524" max="13524" width="18" style="66" customWidth="1"/>
    <col min="13525" max="13525" width="15.33203125" style="66" customWidth="1"/>
    <col min="13526" max="13528" width="17" style="66" customWidth="1"/>
    <col min="13529" max="13776" width="11.44140625" style="66"/>
    <col min="13777" max="13777" width="13" style="66" customWidth="1"/>
    <col min="13778" max="13778" width="18.109375" style="66" customWidth="1"/>
    <col min="13779" max="13779" width="67.6640625" style="66" customWidth="1"/>
    <col min="13780" max="13780" width="18" style="66" customWidth="1"/>
    <col min="13781" max="13781" width="15.33203125" style="66" customWidth="1"/>
    <col min="13782" max="13784" width="17" style="66" customWidth="1"/>
    <col min="13785" max="14032" width="11.44140625" style="66"/>
    <col min="14033" max="14033" width="13" style="66" customWidth="1"/>
    <col min="14034" max="14034" width="18.109375" style="66" customWidth="1"/>
    <col min="14035" max="14035" width="67.6640625" style="66" customWidth="1"/>
    <col min="14036" max="14036" width="18" style="66" customWidth="1"/>
    <col min="14037" max="14037" width="15.33203125" style="66" customWidth="1"/>
    <col min="14038" max="14040" width="17" style="66" customWidth="1"/>
    <col min="14041" max="14288" width="11.44140625" style="66"/>
    <col min="14289" max="14289" width="13" style="66" customWidth="1"/>
    <col min="14290" max="14290" width="18.109375" style="66" customWidth="1"/>
    <col min="14291" max="14291" width="67.6640625" style="66" customWidth="1"/>
    <col min="14292" max="14292" width="18" style="66" customWidth="1"/>
    <col min="14293" max="14293" width="15.33203125" style="66" customWidth="1"/>
    <col min="14294" max="14296" width="17" style="66" customWidth="1"/>
    <col min="14297" max="14544" width="11.44140625" style="66"/>
    <col min="14545" max="14545" width="13" style="66" customWidth="1"/>
    <col min="14546" max="14546" width="18.109375" style="66" customWidth="1"/>
    <col min="14547" max="14547" width="67.6640625" style="66" customWidth="1"/>
    <col min="14548" max="14548" width="18" style="66" customWidth="1"/>
    <col min="14549" max="14549" width="15.33203125" style="66" customWidth="1"/>
    <col min="14550" max="14552" width="17" style="66" customWidth="1"/>
    <col min="14553" max="14800" width="11.44140625" style="66"/>
    <col min="14801" max="14801" width="13" style="66" customWidth="1"/>
    <col min="14802" max="14802" width="18.109375" style="66" customWidth="1"/>
    <col min="14803" max="14803" width="67.6640625" style="66" customWidth="1"/>
    <col min="14804" max="14804" width="18" style="66" customWidth="1"/>
    <col min="14805" max="14805" width="15.33203125" style="66" customWidth="1"/>
    <col min="14806" max="14808" width="17" style="66" customWidth="1"/>
    <col min="14809" max="15056" width="11.44140625" style="66"/>
    <col min="15057" max="15057" width="13" style="66" customWidth="1"/>
    <col min="15058" max="15058" width="18.109375" style="66" customWidth="1"/>
    <col min="15059" max="15059" width="67.6640625" style="66" customWidth="1"/>
    <col min="15060" max="15060" width="18" style="66" customWidth="1"/>
    <col min="15061" max="15061" width="15.33203125" style="66" customWidth="1"/>
    <col min="15062" max="15064" width="17" style="66" customWidth="1"/>
    <col min="15065" max="15312" width="11.44140625" style="66"/>
    <col min="15313" max="15313" width="13" style="66" customWidth="1"/>
    <col min="15314" max="15314" width="18.109375" style="66" customWidth="1"/>
    <col min="15315" max="15315" width="67.6640625" style="66" customWidth="1"/>
    <col min="15316" max="15316" width="18" style="66" customWidth="1"/>
    <col min="15317" max="15317" width="15.33203125" style="66" customWidth="1"/>
    <col min="15318" max="15320" width="17" style="66" customWidth="1"/>
    <col min="15321" max="15568" width="11.44140625" style="66"/>
    <col min="15569" max="15569" width="13" style="66" customWidth="1"/>
    <col min="15570" max="15570" width="18.109375" style="66" customWidth="1"/>
    <col min="15571" max="15571" width="67.6640625" style="66" customWidth="1"/>
    <col min="15572" max="15572" width="18" style="66" customWidth="1"/>
    <col min="15573" max="15573" width="15.33203125" style="66" customWidth="1"/>
    <col min="15574" max="15576" width="17" style="66" customWidth="1"/>
    <col min="15577" max="15824" width="11.44140625" style="66"/>
    <col min="15825" max="15825" width="13" style="66" customWidth="1"/>
    <col min="15826" max="15826" width="18.109375" style="66" customWidth="1"/>
    <col min="15827" max="15827" width="67.6640625" style="66" customWidth="1"/>
    <col min="15828" max="15828" width="18" style="66" customWidth="1"/>
    <col min="15829" max="15829" width="15.33203125" style="66" customWidth="1"/>
    <col min="15830" max="15832" width="17" style="66" customWidth="1"/>
    <col min="15833" max="16080" width="11.44140625" style="66"/>
    <col min="16081" max="16081" width="13" style="66" customWidth="1"/>
    <col min="16082" max="16082" width="18.109375" style="66" customWidth="1"/>
    <col min="16083" max="16083" width="67.6640625" style="66" customWidth="1"/>
    <col min="16084" max="16084" width="18" style="66" customWidth="1"/>
    <col min="16085" max="16085" width="15.33203125" style="66" customWidth="1"/>
    <col min="16086" max="16088" width="17" style="66" customWidth="1"/>
    <col min="16089" max="16384" width="11.44140625" style="66"/>
  </cols>
  <sheetData>
    <row r="1" spans="1:8" x14ac:dyDescent="0.25">
      <c r="B1" s="353"/>
      <c r="C1" s="353"/>
      <c r="D1" s="353"/>
      <c r="E1" s="353"/>
      <c r="F1" s="353"/>
      <c r="G1" s="353"/>
      <c r="H1" s="353"/>
    </row>
    <row r="2" spans="1:8" ht="11.25" customHeight="1" thickBot="1" x14ac:dyDescent="0.3">
      <c r="B2" s="153"/>
      <c r="C2" s="354" t="s">
        <v>203</v>
      </c>
      <c r="D2" s="154"/>
      <c r="E2" s="155"/>
      <c r="F2" s="154"/>
      <c r="G2" s="154"/>
      <c r="H2" s="156"/>
    </row>
    <row r="3" spans="1:8" s="68" customFormat="1" ht="14.4" thickBot="1" x14ac:dyDescent="0.3">
      <c r="A3" s="157"/>
      <c r="B3" s="153"/>
      <c r="C3" s="354"/>
      <c r="D3" s="355" t="s">
        <v>0</v>
      </c>
      <c r="E3" s="355"/>
      <c r="F3" s="158" t="s">
        <v>204</v>
      </c>
      <c r="G3" s="356" t="s">
        <v>205</v>
      </c>
      <c r="H3" s="357"/>
    </row>
    <row r="4" spans="1:8" s="68" customFormat="1" ht="14.4" thickBot="1" x14ac:dyDescent="0.3">
      <c r="A4" s="157"/>
      <c r="B4" s="159"/>
      <c r="C4" s="160"/>
      <c r="D4" s="360" t="s">
        <v>5</v>
      </c>
      <c r="E4" s="361"/>
      <c r="F4" s="161" t="s">
        <v>5</v>
      </c>
      <c r="G4" s="358"/>
      <c r="H4" s="359"/>
    </row>
    <row r="5" spans="1:8" s="67" customFormat="1" ht="44.25" customHeight="1" x14ac:dyDescent="0.3">
      <c r="A5" s="162" t="s">
        <v>206</v>
      </c>
      <c r="B5" s="163" t="s">
        <v>16</v>
      </c>
      <c r="C5" s="164" t="s">
        <v>207</v>
      </c>
      <c r="D5" s="165" t="s">
        <v>0</v>
      </c>
      <c r="E5" s="165" t="s">
        <v>208</v>
      </c>
      <c r="F5" s="165" t="s">
        <v>209</v>
      </c>
      <c r="G5" s="165" t="s">
        <v>210</v>
      </c>
      <c r="H5" s="165" t="s">
        <v>211</v>
      </c>
    </row>
    <row r="6" spans="1:8" ht="31.5" customHeight="1" x14ac:dyDescent="0.25">
      <c r="A6" s="166"/>
      <c r="B6" s="167">
        <v>46204</v>
      </c>
      <c r="C6" s="168" t="s">
        <v>212</v>
      </c>
      <c r="D6" s="169">
        <f>+'[2]CAJA ADMON JUN'!H15</f>
        <v>270</v>
      </c>
      <c r="E6" s="170">
        <v>0</v>
      </c>
      <c r="F6" s="170">
        <v>0</v>
      </c>
      <c r="G6" s="170">
        <v>0</v>
      </c>
      <c r="H6" s="169">
        <f t="shared" ref="H6:H15" si="0">IFERROR(+D6+E6-F6-G6,"0")</f>
        <v>270</v>
      </c>
    </row>
    <row r="7" spans="1:8" s="69" customFormat="1" ht="30" customHeight="1" x14ac:dyDescent="0.3">
      <c r="A7" s="171" t="s">
        <v>215</v>
      </c>
      <c r="B7" s="167">
        <v>46205</v>
      </c>
      <c r="C7" s="172" t="s">
        <v>213</v>
      </c>
      <c r="D7" s="170">
        <f>+'[2]CAJA ADMON JUN'!H16</f>
        <v>0</v>
      </c>
      <c r="E7" s="170"/>
      <c r="F7" s="170">
        <v>50</v>
      </c>
      <c r="G7" s="170"/>
      <c r="H7" s="169">
        <f t="shared" si="0"/>
        <v>-50</v>
      </c>
    </row>
    <row r="8" spans="1:8" s="69" customFormat="1" ht="30" customHeight="1" x14ac:dyDescent="0.3">
      <c r="A8" s="171" t="s">
        <v>216</v>
      </c>
      <c r="B8" s="167">
        <v>46212</v>
      </c>
      <c r="C8" s="172" t="s">
        <v>213</v>
      </c>
      <c r="D8" s="170">
        <f>+'[2]CAJA ADMON JUN'!H17</f>
        <v>0</v>
      </c>
      <c r="E8" s="170"/>
      <c r="F8" s="170">
        <v>50</v>
      </c>
      <c r="G8" s="170"/>
      <c r="H8" s="169">
        <f t="shared" si="0"/>
        <v>-50</v>
      </c>
    </row>
    <row r="9" spans="1:8" ht="30" customHeight="1" x14ac:dyDescent="0.25">
      <c r="A9" s="171" t="s">
        <v>217</v>
      </c>
      <c r="B9" s="167">
        <v>46212</v>
      </c>
      <c r="C9" s="172" t="s">
        <v>214</v>
      </c>
      <c r="D9" s="170">
        <f>+'[2]CAJA ADMON JUN'!H18</f>
        <v>0</v>
      </c>
      <c r="E9" s="170"/>
      <c r="F9" s="170">
        <v>90</v>
      </c>
      <c r="G9" s="170"/>
      <c r="H9" s="169">
        <f t="shared" si="0"/>
        <v>-90</v>
      </c>
    </row>
    <row r="10" spans="1:8" ht="30" customHeight="1" x14ac:dyDescent="0.25">
      <c r="A10" s="171" t="s">
        <v>272</v>
      </c>
      <c r="B10" s="167">
        <v>46219</v>
      </c>
      <c r="C10" s="172" t="s">
        <v>213</v>
      </c>
      <c r="D10" s="170">
        <f>+'[2]CAJA ADMON JUN'!H19</f>
        <v>0</v>
      </c>
      <c r="E10" s="170"/>
      <c r="F10" s="170">
        <v>50</v>
      </c>
      <c r="G10" s="170"/>
      <c r="H10" s="169">
        <f t="shared" si="0"/>
        <v>-50</v>
      </c>
    </row>
    <row r="11" spans="1:8" s="69" customFormat="1" ht="27.75" hidden="1" customHeight="1" x14ac:dyDescent="0.3">
      <c r="A11" s="171" t="s">
        <v>273</v>
      </c>
      <c r="B11" s="167">
        <v>46226</v>
      </c>
      <c r="C11" s="253" t="s">
        <v>274</v>
      </c>
      <c r="D11" s="170">
        <v>500</v>
      </c>
      <c r="E11" s="170"/>
      <c r="F11" s="170"/>
      <c r="G11" s="170"/>
      <c r="H11" s="169">
        <f t="shared" si="0"/>
        <v>500</v>
      </c>
    </row>
    <row r="12" spans="1:8" ht="27.75" hidden="1" customHeight="1" x14ac:dyDescent="0.25">
      <c r="A12" s="171" t="s">
        <v>275</v>
      </c>
      <c r="B12" s="167">
        <v>46226</v>
      </c>
      <c r="C12" s="172" t="s">
        <v>213</v>
      </c>
      <c r="D12" s="170">
        <v>0</v>
      </c>
      <c r="E12" s="170"/>
      <c r="F12" s="170">
        <v>50</v>
      </c>
      <c r="G12" s="170"/>
      <c r="H12" s="169">
        <f t="shared" si="0"/>
        <v>-50</v>
      </c>
    </row>
    <row r="13" spans="1:8" ht="27.75" hidden="1" customHeight="1" x14ac:dyDescent="0.25">
      <c r="A13" s="171" t="s">
        <v>276</v>
      </c>
      <c r="B13" s="167">
        <v>46233</v>
      </c>
      <c r="C13" s="172" t="s">
        <v>213</v>
      </c>
      <c r="D13" s="170">
        <v>0</v>
      </c>
      <c r="E13" s="170"/>
      <c r="F13" s="170">
        <v>50</v>
      </c>
      <c r="G13" s="170"/>
      <c r="H13" s="169">
        <f t="shared" si="0"/>
        <v>-50</v>
      </c>
    </row>
    <row r="14" spans="1:8" hidden="1" x14ac:dyDescent="0.25">
      <c r="A14" s="171" t="s">
        <v>277</v>
      </c>
      <c r="B14" s="167"/>
      <c r="C14" s="172"/>
      <c r="D14" s="170">
        <v>0</v>
      </c>
      <c r="E14" s="170"/>
      <c r="F14" s="170"/>
      <c r="G14" s="170"/>
      <c r="H14" s="169">
        <f t="shared" si="0"/>
        <v>0</v>
      </c>
    </row>
    <row r="15" spans="1:8" x14ac:dyDescent="0.25">
      <c r="A15" s="171" t="s">
        <v>278</v>
      </c>
      <c r="B15" s="167"/>
      <c r="C15" s="172"/>
      <c r="D15" s="170">
        <f>+'[2]CAJA ADMON JUN'!H23</f>
        <v>0</v>
      </c>
      <c r="E15" s="170"/>
      <c r="F15" s="170"/>
      <c r="G15" s="170"/>
      <c r="H15" s="169">
        <f t="shared" si="0"/>
        <v>0</v>
      </c>
    </row>
    <row r="16" spans="1:8" x14ac:dyDescent="0.25">
      <c r="A16" s="173"/>
      <c r="D16" s="176"/>
      <c r="E16" s="176"/>
      <c r="F16" s="176"/>
      <c r="G16" s="175"/>
      <c r="H16" s="177">
        <f>SUBTOTAL(109,H6:H15)</f>
        <v>30</v>
      </c>
    </row>
    <row r="17" spans="1:8" ht="14.4" x14ac:dyDescent="0.25">
      <c r="A17" s="178" t="s">
        <v>218</v>
      </c>
      <c r="B17" s="179"/>
      <c r="C17" s="180"/>
      <c r="D17" s="156"/>
      <c r="E17" s="175"/>
      <c r="F17" s="175"/>
      <c r="G17" s="175"/>
      <c r="H17" s="156"/>
    </row>
    <row r="18" spans="1:8" ht="14.4" x14ac:dyDescent="0.25">
      <c r="A18" s="178" t="s">
        <v>219</v>
      </c>
      <c r="B18" s="179"/>
      <c r="C18" s="180"/>
      <c r="D18" s="181" t="s">
        <v>220</v>
      </c>
      <c r="E18" s="181" t="s">
        <v>221</v>
      </c>
      <c r="F18" s="181" t="s">
        <v>222</v>
      </c>
      <c r="G18" s="182" t="s">
        <v>223</v>
      </c>
      <c r="H18" s="183">
        <f>E24-H16</f>
        <v>400</v>
      </c>
    </row>
    <row r="19" spans="1:8" ht="24.75" customHeight="1" x14ac:dyDescent="0.25">
      <c r="D19" s="184">
        <v>5</v>
      </c>
      <c r="E19" s="184">
        <v>0</v>
      </c>
      <c r="F19" s="184">
        <f>+D19*E19</f>
        <v>0</v>
      </c>
      <c r="G19" s="185"/>
      <c r="H19" s="186"/>
    </row>
    <row r="20" spans="1:8" x14ac:dyDescent="0.25">
      <c r="D20" s="184">
        <v>10</v>
      </c>
      <c r="E20" s="184">
        <v>0</v>
      </c>
      <c r="F20" s="184">
        <f>+D20*E20</f>
        <v>0</v>
      </c>
    </row>
    <row r="21" spans="1:8" x14ac:dyDescent="0.25">
      <c r="D21" s="184">
        <v>20</v>
      </c>
      <c r="E21" s="184">
        <v>9</v>
      </c>
      <c r="F21" s="184">
        <f>+D21*E21</f>
        <v>180</v>
      </c>
    </row>
    <row r="22" spans="1:8" ht="14.4" x14ac:dyDescent="0.3">
      <c r="A22" s="362" t="s">
        <v>224</v>
      </c>
      <c r="B22" s="363"/>
      <c r="C22" s="363"/>
      <c r="D22" s="184">
        <v>50</v>
      </c>
      <c r="E22" s="184">
        <v>5</v>
      </c>
      <c r="F22" s="184">
        <f>+D22*E22</f>
        <v>250</v>
      </c>
      <c r="G22" s="185" t="s">
        <v>225</v>
      </c>
      <c r="H22" s="264" t="str">
        <f>IF($H$18&lt;0,"x","")</f>
        <v/>
      </c>
    </row>
    <row r="23" spans="1:8" ht="14.4" x14ac:dyDescent="0.25">
      <c r="D23" s="190">
        <v>100</v>
      </c>
      <c r="E23" s="190">
        <v>0</v>
      </c>
      <c r="F23" s="184">
        <f>+D23*E23</f>
        <v>0</v>
      </c>
      <c r="G23" s="185" t="s">
        <v>226</v>
      </c>
      <c r="H23" s="264" t="str">
        <f>IF($H$18&gt;0,"x","")</f>
        <v>x</v>
      </c>
    </row>
    <row r="24" spans="1:8" ht="14.4" thickBot="1" x14ac:dyDescent="0.3">
      <c r="A24" s="352"/>
      <c r="B24" s="352"/>
      <c r="D24" s="191" t="s">
        <v>227</v>
      </c>
      <c r="E24" s="364">
        <f>SUM(F19:F23)</f>
        <v>430</v>
      </c>
      <c r="F24" s="364"/>
      <c r="G24" s="175"/>
      <c r="H24" s="254"/>
    </row>
    <row r="25" spans="1:8" ht="14.4" x14ac:dyDescent="0.3">
      <c r="D25" s="192"/>
      <c r="E25" s="188"/>
      <c r="F25" s="175"/>
      <c r="G25" s="175"/>
    </row>
    <row r="26" spans="1:8" x14ac:dyDescent="0.25">
      <c r="D26" s="365"/>
      <c r="E26" s="365"/>
      <c r="F26" s="365"/>
      <c r="G26" s="175"/>
    </row>
    <row r="27" spans="1:8" ht="14.4" x14ac:dyDescent="0.3">
      <c r="A27" s="189" t="s">
        <v>228</v>
      </c>
      <c r="B27" s="192"/>
      <c r="C27" s="192"/>
      <c r="D27" s="193"/>
      <c r="E27"/>
      <c r="F27" s="194"/>
      <c r="G27" s="194"/>
      <c r="H27" s="195"/>
    </row>
    <row r="28" spans="1:8" ht="14.4" x14ac:dyDescent="0.3">
      <c r="B28" s="153"/>
      <c r="D28"/>
      <c r="E28"/>
      <c r="F28"/>
      <c r="G28"/>
      <c r="H28" s="186"/>
    </row>
    <row r="29" spans="1:8" ht="15" thickBot="1" x14ac:dyDescent="0.35">
      <c r="A29" s="352"/>
      <c r="B29" s="352"/>
      <c r="C29" s="180"/>
      <c r="D29"/>
      <c r="E29"/>
      <c r="F29"/>
      <c r="G29"/>
      <c r="H29" s="186"/>
    </row>
    <row r="30" spans="1:8" ht="14.4" x14ac:dyDescent="0.3">
      <c r="D30"/>
      <c r="E30"/>
      <c r="F30"/>
      <c r="G30"/>
      <c r="H30" s="186"/>
    </row>
    <row r="31" spans="1:8" ht="14.4" x14ac:dyDescent="0.3">
      <c r="D31"/>
      <c r="E31"/>
      <c r="F31"/>
      <c r="G31"/>
      <c r="H31" s="186"/>
    </row>
    <row r="32" spans="1:8" ht="14.4" x14ac:dyDescent="0.3">
      <c r="A32" s="178"/>
      <c r="B32" s="179"/>
      <c r="C32" s="180"/>
      <c r="D32"/>
      <c r="E32"/>
    </row>
    <row r="33" spans="1:8" ht="14.4" x14ac:dyDescent="0.3">
      <c r="A33" s="196"/>
      <c r="B33" s="197"/>
      <c r="C33" s="198"/>
      <c r="D33"/>
      <c r="E33"/>
      <c r="F33"/>
      <c r="G33"/>
      <c r="H33" s="186"/>
    </row>
    <row r="34" spans="1:8" x14ac:dyDescent="0.25">
      <c r="D34" s="154"/>
      <c r="E34" s="155"/>
      <c r="F34" s="199"/>
      <c r="G34" s="154"/>
      <c r="H34" s="156"/>
    </row>
    <row r="35" spans="1:8" ht="14.4" x14ac:dyDescent="0.25">
      <c r="A35" s="178"/>
      <c r="B35" s="153"/>
      <c r="C35" s="180"/>
      <c r="D35" s="154"/>
      <c r="E35" s="155"/>
      <c r="F35" s="199"/>
      <c r="G35" s="154"/>
      <c r="H35" s="156"/>
    </row>
    <row r="36" spans="1:8" x14ac:dyDescent="0.25">
      <c r="B36" s="153"/>
      <c r="D36" s="154"/>
      <c r="E36" s="155"/>
      <c r="F36" s="200"/>
      <c r="G36" s="154"/>
      <c r="H36" s="156"/>
    </row>
    <row r="37" spans="1:8" x14ac:dyDescent="0.25">
      <c r="B37" s="153"/>
      <c r="D37" s="154"/>
      <c r="E37" s="155"/>
      <c r="F37" s="200"/>
      <c r="G37" s="154"/>
      <c r="H37" s="156"/>
    </row>
    <row r="38" spans="1:8" x14ac:dyDescent="0.25">
      <c r="B38" s="153"/>
      <c r="D38" s="154"/>
      <c r="E38" s="155"/>
      <c r="F38" s="200"/>
      <c r="G38" s="154"/>
      <c r="H38" s="156"/>
    </row>
    <row r="39" spans="1:8" x14ac:dyDescent="0.25">
      <c r="B39" s="153"/>
      <c r="D39" s="154"/>
      <c r="E39" s="155"/>
      <c r="F39" s="200"/>
      <c r="G39" s="154"/>
      <c r="H39" s="156"/>
    </row>
    <row r="40" spans="1:8" x14ac:dyDescent="0.25">
      <c r="B40" s="153"/>
      <c r="D40" s="154"/>
      <c r="E40" s="155"/>
      <c r="F40" s="154"/>
      <c r="G40" s="154"/>
      <c r="H40" s="156"/>
    </row>
    <row r="41" spans="1:8" x14ac:dyDescent="0.25">
      <c r="B41" s="153"/>
      <c r="D41" s="154"/>
      <c r="E41" s="155"/>
      <c r="F41" s="154"/>
      <c r="G41" s="154"/>
      <c r="H41" s="156"/>
    </row>
    <row r="42" spans="1:8" x14ac:dyDescent="0.25">
      <c r="B42" s="153"/>
      <c r="D42" s="154"/>
      <c r="E42" s="155"/>
      <c r="F42" s="154"/>
      <c r="G42" s="154"/>
      <c r="H42" s="156"/>
    </row>
    <row r="43" spans="1:8" x14ac:dyDescent="0.25">
      <c r="B43" s="153"/>
      <c r="D43" s="154"/>
      <c r="E43" s="155"/>
      <c r="F43" s="154"/>
      <c r="G43" s="154"/>
      <c r="H43" s="156"/>
    </row>
    <row r="44" spans="1:8" x14ac:dyDescent="0.25">
      <c r="B44" s="153"/>
      <c r="D44" s="154"/>
      <c r="E44" s="155"/>
      <c r="F44" s="154"/>
      <c r="G44" s="154"/>
      <c r="H44" s="156"/>
    </row>
    <row r="45" spans="1:8" x14ac:dyDescent="0.25">
      <c r="B45" s="153"/>
      <c r="D45" s="154"/>
      <c r="E45" s="155"/>
      <c r="F45" s="154"/>
      <c r="G45" s="154"/>
      <c r="H45" s="156"/>
    </row>
    <row r="46" spans="1:8" x14ac:dyDescent="0.25">
      <c r="B46" s="153"/>
      <c r="D46" s="154"/>
      <c r="E46" s="155"/>
      <c r="F46" s="154"/>
      <c r="G46" s="154"/>
      <c r="H46" s="156"/>
    </row>
    <row r="47" spans="1:8" x14ac:dyDescent="0.25">
      <c r="B47" s="153"/>
      <c r="D47" s="154"/>
      <c r="E47" s="155"/>
      <c r="F47" s="154"/>
      <c r="G47" s="154"/>
      <c r="H47" s="156"/>
    </row>
    <row r="48" spans="1:8" x14ac:dyDescent="0.25">
      <c r="B48" s="153"/>
      <c r="D48" s="154"/>
      <c r="E48" s="155"/>
      <c r="F48" s="154"/>
      <c r="G48" s="154"/>
      <c r="H48" s="156"/>
    </row>
    <row r="49" spans="2:8" x14ac:dyDescent="0.25">
      <c r="B49" s="153"/>
      <c r="D49" s="154"/>
      <c r="E49" s="155"/>
      <c r="F49" s="154"/>
      <c r="G49" s="154"/>
      <c r="H49" s="156"/>
    </row>
    <row r="50" spans="2:8" x14ac:dyDescent="0.25">
      <c r="B50" s="153"/>
      <c r="D50" s="154"/>
      <c r="E50" s="155"/>
      <c r="F50" s="154"/>
      <c r="G50" s="154"/>
      <c r="H50" s="156"/>
    </row>
    <row r="51" spans="2:8" x14ac:dyDescent="0.25">
      <c r="B51" s="153"/>
    </row>
    <row r="52" spans="2:8" x14ac:dyDescent="0.25">
      <c r="B52" s="153"/>
    </row>
  </sheetData>
  <mergeCells count="10">
    <mergeCell ref="A29:B29"/>
    <mergeCell ref="B1:H1"/>
    <mergeCell ref="C2:C3"/>
    <mergeCell ref="D3:E3"/>
    <mergeCell ref="G3:H4"/>
    <mergeCell ref="D4:E4"/>
    <mergeCell ref="A22:C22"/>
    <mergeCell ref="A24:B24"/>
    <mergeCell ref="E24:F24"/>
    <mergeCell ref="D26:F26"/>
  </mergeCells>
  <phoneticPr fontId="24" type="noConversion"/>
  <pageMargins left="0.7" right="0.7" top="0.75" bottom="0.75" header="0.3" footer="0.3"/>
  <pageSetup paperSize="9" scale="50" orientation="portrait" horizontalDpi="0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9CBD-D34D-4A96-93E6-0F98D118EC73}">
  <sheetPr codeName="Hoja3">
    <pageSetUpPr fitToPage="1"/>
  </sheetPr>
  <dimension ref="A6:E18"/>
  <sheetViews>
    <sheetView topLeftCell="C1" workbookViewId="0">
      <selection activeCell="F39" sqref="F39:G39"/>
    </sheetView>
  </sheetViews>
  <sheetFormatPr baseColWidth="10" defaultRowHeight="14.4" x14ac:dyDescent="0.3"/>
  <cols>
    <col min="1" max="1" width="16" customWidth="1"/>
    <col min="2" max="4" width="17.33203125" customWidth="1"/>
  </cols>
  <sheetData>
    <row r="6" spans="1:5" ht="15.6" x14ac:dyDescent="0.3">
      <c r="A6" s="1" t="s">
        <v>89</v>
      </c>
      <c r="B6" s="6" t="s">
        <v>72</v>
      </c>
      <c r="C6" s="6"/>
      <c r="D6" s="5"/>
    </row>
    <row r="7" spans="1:5" ht="15.6" x14ac:dyDescent="0.3">
      <c r="A7" s="1" t="s">
        <v>69</v>
      </c>
      <c r="B7" s="3"/>
      <c r="C7" s="3"/>
      <c r="D7" s="2"/>
    </row>
    <row r="8" spans="1:5" ht="15.6" x14ac:dyDescent="0.3">
      <c r="A8" s="1" t="s">
        <v>70</v>
      </c>
      <c r="B8" s="3"/>
      <c r="C8" s="3"/>
      <c r="D8" s="2"/>
      <c r="E8" s="10"/>
    </row>
    <row r="9" spans="1:5" ht="15.6" x14ac:dyDescent="0.3">
      <c r="A9" s="1" t="s">
        <v>68</v>
      </c>
      <c r="B9" s="3"/>
      <c r="C9" s="3"/>
      <c r="D9" s="2"/>
      <c r="E9" s="10"/>
    </row>
    <row r="10" spans="1:5" ht="15.6" x14ac:dyDescent="0.3">
      <c r="A10" s="1" t="s">
        <v>71</v>
      </c>
      <c r="B10" s="3"/>
      <c r="C10" s="3"/>
      <c r="D10" s="2"/>
      <c r="E10" s="10"/>
    </row>
    <row r="11" spans="1:5" ht="15.6" x14ac:dyDescent="0.3">
      <c r="A11" s="1" t="s">
        <v>81</v>
      </c>
      <c r="B11" s="3"/>
      <c r="C11" s="3"/>
      <c r="D11" s="2"/>
      <c r="E11" s="10"/>
    </row>
    <row r="12" spans="1:5" ht="15.6" x14ac:dyDescent="0.3">
      <c r="A12" s="1" t="s">
        <v>78</v>
      </c>
      <c r="B12" s="3"/>
      <c r="C12" s="3"/>
      <c r="D12" s="2"/>
      <c r="E12" s="10"/>
    </row>
    <row r="13" spans="1:5" ht="15.6" x14ac:dyDescent="0.3">
      <c r="A13" s="1" t="s">
        <v>80</v>
      </c>
      <c r="B13" s="3"/>
      <c r="C13" s="3"/>
      <c r="D13" s="2"/>
      <c r="E13" s="10"/>
    </row>
    <row r="14" spans="1:5" ht="15.6" x14ac:dyDescent="0.3">
      <c r="A14" s="1" t="s">
        <v>87</v>
      </c>
      <c r="B14" s="3"/>
      <c r="C14" s="3"/>
      <c r="D14" s="2"/>
      <c r="E14" s="10"/>
    </row>
    <row r="15" spans="1:5" ht="15.6" x14ac:dyDescent="0.3">
      <c r="A15" s="1" t="s">
        <v>95</v>
      </c>
      <c r="B15" s="3"/>
      <c r="C15" s="3"/>
      <c r="D15" s="2"/>
      <c r="E15" s="10"/>
    </row>
    <row r="16" spans="1:5" ht="15.6" x14ac:dyDescent="0.3">
      <c r="A16" s="1" t="s">
        <v>93</v>
      </c>
      <c r="B16" s="3"/>
      <c r="C16" s="3"/>
      <c r="D16" s="2"/>
      <c r="E16" s="10"/>
    </row>
    <row r="17" spans="1:5" ht="15.6" x14ac:dyDescent="0.3">
      <c r="A17" s="1" t="s">
        <v>94</v>
      </c>
      <c r="B17" s="3"/>
      <c r="C17" s="3"/>
      <c r="D17" s="2"/>
      <c r="E17" s="10"/>
    </row>
    <row r="18" spans="1:5" ht="15.6" x14ac:dyDescent="0.3">
      <c r="A18" s="1" t="s">
        <v>96</v>
      </c>
      <c r="B18" s="3"/>
      <c r="C18" s="3"/>
      <c r="D18" s="2"/>
      <c r="E18" s="10"/>
    </row>
  </sheetData>
  <pageMargins left="0.70866141732283472" right="0.70866141732283472" top="0.74803149606299213" bottom="0.74803149606299213" header="0.31496062992125984" footer="0.31496062992125984"/>
  <pageSetup scale="51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288C-9406-46F4-AEB8-8334F3949354}">
  <sheetPr codeName="Hoja2">
    <pageSetUpPr fitToPage="1"/>
  </sheetPr>
  <dimension ref="A6:D23"/>
  <sheetViews>
    <sheetView topLeftCell="A2" workbookViewId="0">
      <selection activeCell="F39" sqref="F39:G39"/>
    </sheetView>
  </sheetViews>
  <sheetFormatPr baseColWidth="10" defaultRowHeight="14.4" x14ac:dyDescent="0.3"/>
  <cols>
    <col min="1" max="1" width="16" customWidth="1"/>
    <col min="2" max="2" width="13.33203125" customWidth="1"/>
    <col min="3" max="3" width="14.109375" customWidth="1"/>
  </cols>
  <sheetData>
    <row r="6" spans="1:4" ht="15.6" x14ac:dyDescent="0.3">
      <c r="A6" s="1"/>
      <c r="B6" s="6"/>
      <c r="C6" s="5"/>
    </row>
    <row r="7" spans="1:4" ht="15.6" x14ac:dyDescent="0.3">
      <c r="A7" s="1"/>
      <c r="B7" s="3"/>
      <c r="C7" s="2"/>
    </row>
    <row r="8" spans="1:4" ht="15.6" x14ac:dyDescent="0.3">
      <c r="A8" s="1"/>
      <c r="B8" s="3"/>
      <c r="C8" s="2"/>
      <c r="D8" s="10"/>
    </row>
    <row r="9" spans="1:4" ht="15.6" x14ac:dyDescent="0.3">
      <c r="A9" s="1"/>
      <c r="B9" s="3"/>
      <c r="C9" s="2"/>
      <c r="D9" s="10"/>
    </row>
    <row r="10" spans="1:4" ht="15.6" x14ac:dyDescent="0.3">
      <c r="A10" s="1"/>
      <c r="B10" s="3"/>
      <c r="C10" s="2"/>
      <c r="D10" s="10"/>
    </row>
    <row r="11" spans="1:4" ht="15.6" x14ac:dyDescent="0.3">
      <c r="A11" s="1"/>
      <c r="B11" s="3"/>
      <c r="C11" s="2"/>
      <c r="D11" s="10"/>
    </row>
    <row r="12" spans="1:4" ht="15.6" x14ac:dyDescent="0.3">
      <c r="A12" s="1"/>
      <c r="B12" s="3"/>
      <c r="C12" s="2"/>
      <c r="D12" s="10"/>
    </row>
    <row r="13" spans="1:4" ht="15.6" x14ac:dyDescent="0.3">
      <c r="A13" s="1"/>
      <c r="B13" s="3"/>
      <c r="C13" s="2"/>
      <c r="D13" s="10"/>
    </row>
    <row r="14" spans="1:4" ht="15.6" x14ac:dyDescent="0.3">
      <c r="A14" s="1"/>
      <c r="B14" s="3"/>
      <c r="C14" s="2"/>
      <c r="D14" s="10"/>
    </row>
    <row r="15" spans="1:4" ht="15.6" x14ac:dyDescent="0.3">
      <c r="A15" s="1"/>
      <c r="B15" s="3"/>
      <c r="C15" s="2"/>
      <c r="D15" s="10"/>
    </row>
    <row r="16" spans="1:4" ht="15.6" x14ac:dyDescent="0.3">
      <c r="A16" s="1"/>
      <c r="B16" s="3"/>
      <c r="C16" s="2"/>
      <c r="D16" s="10"/>
    </row>
    <row r="17" spans="1:4" ht="15.6" x14ac:dyDescent="0.3">
      <c r="A17" s="1"/>
      <c r="B17" s="3"/>
      <c r="C17" s="2"/>
      <c r="D17" s="10"/>
    </row>
    <row r="18" spans="1:4" ht="15.6" x14ac:dyDescent="0.3">
      <c r="A18" s="1"/>
      <c r="B18" s="3"/>
      <c r="C18" s="2"/>
      <c r="D18" s="10"/>
    </row>
    <row r="20" spans="1:4" x14ac:dyDescent="0.3">
      <c r="A20" s="7"/>
      <c r="B20" s="2"/>
    </row>
    <row r="21" spans="1:4" x14ac:dyDescent="0.3">
      <c r="A21" s="7"/>
      <c r="B21" s="8"/>
    </row>
    <row r="22" spans="1:4" x14ac:dyDescent="0.3">
      <c r="A22" s="7"/>
    </row>
    <row r="23" spans="1:4" x14ac:dyDescent="0.3">
      <c r="A23" s="7"/>
      <c r="B23" s="2"/>
    </row>
  </sheetData>
  <pageMargins left="0.70866141732283472" right="0.70866141732283472" top="0.74803149606299213" bottom="0.74803149606299213" header="0.31496062992125984" footer="0.31496062992125984"/>
  <pageSetup scale="58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6ED2-082F-42FC-B1F9-AFCFB22989CE}">
  <dimension ref="A1:B8"/>
  <sheetViews>
    <sheetView showGridLines="0" workbookViewId="0">
      <selection activeCell="E20" sqref="E20"/>
    </sheetView>
  </sheetViews>
  <sheetFormatPr baseColWidth="10" defaultRowHeight="15.6" x14ac:dyDescent="0.3"/>
  <cols>
    <col min="1" max="1" width="28.109375" style="9" bestFit="1" customWidth="1"/>
    <col min="2" max="2" width="11.33203125" style="9" bestFit="1" customWidth="1"/>
    <col min="3" max="4" width="12.5546875" bestFit="1" customWidth="1"/>
  </cols>
  <sheetData>
    <row r="1" spans="1:2" ht="14.4" x14ac:dyDescent="0.3">
      <c r="A1"/>
      <c r="B1"/>
    </row>
    <row r="3" spans="1:2" x14ac:dyDescent="0.3">
      <c r="A3" s="18" t="s">
        <v>57</v>
      </c>
    </row>
    <row r="4" spans="1:2" x14ac:dyDescent="0.3">
      <c r="A4" s="18" t="s">
        <v>18</v>
      </c>
      <c r="B4" s="9" t="s">
        <v>140</v>
      </c>
    </row>
    <row r="5" spans="1:2" x14ac:dyDescent="0.3">
      <c r="A5" s="9" t="s">
        <v>171</v>
      </c>
      <c r="B5" s="17">
        <v>0</v>
      </c>
    </row>
    <row r="6" spans="1:2" x14ac:dyDescent="0.3">
      <c r="A6" s="9" t="s">
        <v>97</v>
      </c>
      <c r="B6" s="17">
        <v>227987.17194457509</v>
      </c>
    </row>
    <row r="7" spans="1:2" x14ac:dyDescent="0.3">
      <c r="A7" s="9" t="s">
        <v>159</v>
      </c>
      <c r="B7" s="17">
        <v>10524.504128872402</v>
      </c>
    </row>
    <row r="8" spans="1:2" x14ac:dyDescent="0.3">
      <c r="A8" s="9" t="s">
        <v>67</v>
      </c>
      <c r="B8" s="17">
        <v>238511.67607344751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5295-6814-40ED-B1AB-AE96307C2EFC}">
  <dimension ref="A1:B48"/>
  <sheetViews>
    <sheetView showGridLines="0" topLeftCell="A16" workbookViewId="0">
      <selection activeCell="L43" sqref="L43"/>
    </sheetView>
  </sheetViews>
  <sheetFormatPr baseColWidth="10" defaultRowHeight="14.4" x14ac:dyDescent="0.3"/>
  <cols>
    <col min="1" max="1" width="35.44140625" bestFit="1" customWidth="1"/>
    <col min="2" max="3" width="10" bestFit="1" customWidth="1"/>
  </cols>
  <sheetData>
    <row r="1" spans="1:2" x14ac:dyDescent="0.3">
      <c r="A1" s="277" t="s">
        <v>16</v>
      </c>
      <c r="B1" t="s">
        <v>139</v>
      </c>
    </row>
    <row r="3" spans="1:2" x14ac:dyDescent="0.3">
      <c r="A3" s="277" t="s">
        <v>57</v>
      </c>
    </row>
    <row r="4" spans="1:2" x14ac:dyDescent="0.3">
      <c r="A4" s="277" t="s">
        <v>24</v>
      </c>
      <c r="B4" t="s">
        <v>140</v>
      </c>
    </row>
    <row r="5" spans="1:2" x14ac:dyDescent="0.3">
      <c r="A5" t="s">
        <v>29</v>
      </c>
      <c r="B5" s="16">
        <v>2289.2339325425978</v>
      </c>
    </row>
    <row r="6" spans="1:2" x14ac:dyDescent="0.3">
      <c r="A6" t="s">
        <v>104</v>
      </c>
      <c r="B6" s="16">
        <v>1518.7244130664501</v>
      </c>
    </row>
    <row r="7" spans="1:2" x14ac:dyDescent="0.3">
      <c r="A7" t="s">
        <v>79</v>
      </c>
      <c r="B7" s="16">
        <v>31.978726440967328</v>
      </c>
    </row>
    <row r="8" spans="1:2" x14ac:dyDescent="0.3">
      <c r="A8" t="s">
        <v>105</v>
      </c>
      <c r="B8" s="16">
        <v>4563.0579400620045</v>
      </c>
    </row>
    <row r="9" spans="1:2" x14ac:dyDescent="0.3">
      <c r="A9" t="s">
        <v>130</v>
      </c>
      <c r="B9" s="16">
        <v>125.60973894012818</v>
      </c>
    </row>
    <row r="10" spans="1:2" x14ac:dyDescent="0.3">
      <c r="A10" t="s">
        <v>54</v>
      </c>
      <c r="B10" s="16">
        <v>104.61624923462693</v>
      </c>
    </row>
    <row r="11" spans="1:2" x14ac:dyDescent="0.3">
      <c r="A11" t="s">
        <v>38</v>
      </c>
      <c r="B11" s="16">
        <v>6418.4905990250854</v>
      </c>
    </row>
    <row r="12" spans="1:2" x14ac:dyDescent="0.3">
      <c r="A12" t="s">
        <v>3</v>
      </c>
      <c r="B12" s="16">
        <v>508.33474966450257</v>
      </c>
    </row>
    <row r="13" spans="1:2" x14ac:dyDescent="0.3">
      <c r="A13" t="s">
        <v>113</v>
      </c>
      <c r="B13" s="16">
        <v>27.357319516621939</v>
      </c>
    </row>
    <row r="14" spans="1:2" x14ac:dyDescent="0.3">
      <c r="A14" t="s">
        <v>75</v>
      </c>
      <c r="B14" s="16">
        <v>388.53531804914826</v>
      </c>
    </row>
    <row r="15" spans="1:2" x14ac:dyDescent="0.3">
      <c r="A15" t="s">
        <v>37</v>
      </c>
      <c r="B15" s="16">
        <v>2430.8673584174489</v>
      </c>
    </row>
    <row r="16" spans="1:2" x14ac:dyDescent="0.3">
      <c r="A16" t="s">
        <v>110</v>
      </c>
      <c r="B16" s="16">
        <v>7.1511462675255775</v>
      </c>
    </row>
    <row r="17" spans="1:2" x14ac:dyDescent="0.3">
      <c r="A17" t="s">
        <v>137</v>
      </c>
      <c r="B17" s="16">
        <v>274.45861878453042</v>
      </c>
    </row>
    <row r="18" spans="1:2" x14ac:dyDescent="0.3">
      <c r="A18" t="s">
        <v>26</v>
      </c>
      <c r="B18" s="16">
        <v>406.77020832166448</v>
      </c>
    </row>
    <row r="19" spans="1:2" x14ac:dyDescent="0.3">
      <c r="A19" t="s">
        <v>131</v>
      </c>
      <c r="B19" s="16">
        <v>21316.462774919819</v>
      </c>
    </row>
    <row r="20" spans="1:2" x14ac:dyDescent="0.3">
      <c r="A20" t="s">
        <v>73</v>
      </c>
      <c r="B20" s="16">
        <v>142.33668676751665</v>
      </c>
    </row>
    <row r="21" spans="1:2" x14ac:dyDescent="0.3">
      <c r="A21" t="s">
        <v>14</v>
      </c>
      <c r="B21" s="16">
        <v>22736.466462679844</v>
      </c>
    </row>
    <row r="22" spans="1:2" x14ac:dyDescent="0.3">
      <c r="A22" t="s">
        <v>124</v>
      </c>
      <c r="B22" s="16">
        <v>240</v>
      </c>
    </row>
    <row r="23" spans="1:2" x14ac:dyDescent="0.3">
      <c r="A23" t="s">
        <v>135</v>
      </c>
      <c r="B23" s="16">
        <v>44.563451617945908</v>
      </c>
    </row>
    <row r="24" spans="1:2" x14ac:dyDescent="0.3">
      <c r="A24" t="s">
        <v>171</v>
      </c>
      <c r="B24" s="16">
        <v>0</v>
      </c>
    </row>
    <row r="25" spans="1:2" x14ac:dyDescent="0.3">
      <c r="A25" t="s">
        <v>138</v>
      </c>
      <c r="B25" s="16">
        <v>42.687377388406652</v>
      </c>
    </row>
    <row r="26" spans="1:2" x14ac:dyDescent="0.3">
      <c r="A26" t="s">
        <v>99</v>
      </c>
      <c r="B26" s="16">
        <v>679.8061531033743</v>
      </c>
    </row>
    <row r="27" spans="1:2" x14ac:dyDescent="0.3">
      <c r="A27" t="s">
        <v>34</v>
      </c>
      <c r="B27" s="16">
        <v>368.49272135910064</v>
      </c>
    </row>
    <row r="28" spans="1:2" x14ac:dyDescent="0.3">
      <c r="A28" t="s">
        <v>103</v>
      </c>
      <c r="B28" s="16">
        <v>472.91917453502776</v>
      </c>
    </row>
    <row r="29" spans="1:2" x14ac:dyDescent="0.3">
      <c r="A29" t="s">
        <v>27</v>
      </c>
      <c r="B29" s="16">
        <v>318.49488491468253</v>
      </c>
    </row>
    <row r="30" spans="1:2" x14ac:dyDescent="0.3">
      <c r="A30" t="s">
        <v>108</v>
      </c>
      <c r="B30" s="16">
        <v>330.89988591409485</v>
      </c>
    </row>
    <row r="31" spans="1:2" x14ac:dyDescent="0.3">
      <c r="A31" t="s">
        <v>125</v>
      </c>
      <c r="B31" s="16">
        <v>5369.4322967062071</v>
      </c>
    </row>
    <row r="32" spans="1:2" x14ac:dyDescent="0.3">
      <c r="A32" t="s">
        <v>25</v>
      </c>
      <c r="B32" s="16">
        <v>19.752048360570726</v>
      </c>
    </row>
    <row r="33" spans="1:2" x14ac:dyDescent="0.3">
      <c r="A33" t="s">
        <v>112</v>
      </c>
      <c r="B33" s="16">
        <v>14.494126563092079</v>
      </c>
    </row>
    <row r="34" spans="1:2" x14ac:dyDescent="0.3">
      <c r="A34" t="s">
        <v>161</v>
      </c>
      <c r="B34" s="16">
        <v>147.48013767841354</v>
      </c>
    </row>
    <row r="35" spans="1:2" x14ac:dyDescent="0.3">
      <c r="A35" t="s">
        <v>98</v>
      </c>
      <c r="B35" s="16">
        <v>1802.5876300699374</v>
      </c>
    </row>
    <row r="36" spans="1:2" x14ac:dyDescent="0.3">
      <c r="A36" t="s">
        <v>1</v>
      </c>
      <c r="B36" s="16">
        <v>2287.6603176795579</v>
      </c>
    </row>
    <row r="37" spans="1:2" x14ac:dyDescent="0.3">
      <c r="A37" t="s">
        <v>41</v>
      </c>
      <c r="B37" s="16">
        <v>157.20771958550262</v>
      </c>
    </row>
    <row r="38" spans="1:2" x14ac:dyDescent="0.3">
      <c r="A38" t="s">
        <v>162</v>
      </c>
      <c r="B38" s="16">
        <v>28.313278129282441</v>
      </c>
    </row>
    <row r="39" spans="1:2" x14ac:dyDescent="0.3">
      <c r="A39" t="s">
        <v>163</v>
      </c>
      <c r="B39" s="16">
        <v>43.154994144697383</v>
      </c>
    </row>
    <row r="40" spans="1:2" x14ac:dyDescent="0.3">
      <c r="A40" t="s">
        <v>91</v>
      </c>
      <c r="B40" s="16">
        <v>540.58261484755394</v>
      </c>
    </row>
    <row r="41" spans="1:2" x14ac:dyDescent="0.3">
      <c r="A41" t="s">
        <v>182</v>
      </c>
      <c r="B41" s="16">
        <v>178.00000000000003</v>
      </c>
    </row>
    <row r="42" spans="1:2" x14ac:dyDescent="0.3">
      <c r="A42" t="s">
        <v>183</v>
      </c>
      <c r="B42" s="16">
        <v>817.65321541445678</v>
      </c>
    </row>
    <row r="43" spans="1:2" x14ac:dyDescent="0.3">
      <c r="A43" t="s">
        <v>184</v>
      </c>
      <c r="B43" s="16">
        <v>15.078787134119702</v>
      </c>
    </row>
    <row r="44" spans="1:2" x14ac:dyDescent="0.3">
      <c r="A44" t="s">
        <v>197</v>
      </c>
      <c r="B44" s="16">
        <v>227.7102459417946</v>
      </c>
    </row>
    <row r="45" spans="1:2" x14ac:dyDescent="0.3">
      <c r="A45" t="s">
        <v>229</v>
      </c>
      <c r="B45" s="16">
        <v>3136.7155556976559</v>
      </c>
    </row>
    <row r="46" spans="1:2" x14ac:dyDescent="0.3">
      <c r="A46" t="s">
        <v>424</v>
      </c>
      <c r="B46" s="16">
        <v>1079.4586925151507</v>
      </c>
    </row>
    <row r="47" spans="1:2" x14ac:dyDescent="0.3">
      <c r="A47" t="s">
        <v>426</v>
      </c>
      <c r="B47" s="16">
        <v>49.382406043433903</v>
      </c>
    </row>
    <row r="48" spans="1:2" x14ac:dyDescent="0.3">
      <c r="A48" t="s">
        <v>67</v>
      </c>
      <c r="B48" s="16">
        <v>81702.97995804454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033145-4F7B-494F-893A-3D9457FF0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B.D.</vt:lpstr>
      <vt:lpstr>RESUMEN</vt:lpstr>
      <vt:lpstr>INGRESOS</vt:lpstr>
      <vt:lpstr>CUENTAS POR COBRAR</vt:lpstr>
      <vt:lpstr>Hoja1</vt:lpstr>
      <vt:lpstr>COMPRAS FACT</vt:lpstr>
      <vt:lpstr>GASTOS </vt:lpstr>
      <vt:lpstr>FONDO EN CAJA $ BS</vt:lpstr>
      <vt:lpstr>CAJA ADM</vt:lpstr>
      <vt:lpstr>COMPARAT</vt:lpstr>
      <vt:lpstr>COMPARAT COMPRAS</vt:lpstr>
      <vt:lpstr>T.D COMPRAS</vt:lpstr>
      <vt:lpstr>T.D 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Juan Carlos Bastardo Dominguez</cp:lastModifiedBy>
  <cp:lastPrinted>2026-08-21T19:52:08Z</cp:lastPrinted>
  <dcterms:created xsi:type="dcterms:W3CDTF">2022-03-29T15:57:56Z</dcterms:created>
  <dcterms:modified xsi:type="dcterms:W3CDTF">2026-09-29T19:51:35Z</dcterms:modified>
</cp:coreProperties>
</file>